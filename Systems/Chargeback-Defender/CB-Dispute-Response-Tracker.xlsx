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60" yWindow="6020" windowWidth="21520" windowHeight="2014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eckpoints" sheetId="2" state="visible" r:id="rId2"/>
    <sheet xmlns:r="http://schemas.openxmlformats.org/officeDocument/2006/relationships" name="Dispute Log" sheetId="3" state="visible" r:id="rId3"/>
    <sheet xmlns:r="http://schemas.openxmlformats.org/officeDocument/2006/relationships" name="Rate Monitor" sheetId="4" state="visible" r:id="rId4"/>
    <sheet xmlns:r="http://schemas.openxmlformats.org/officeDocument/2006/relationships" name="Learning Loo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\$#,##0.00;[Red]\(\$#,##0.00\)"/>
    <numFmt numFmtId="166" formatCode="\$#,##0.00"/>
    <numFmt numFmtId="167" formatCode="0.0%"/>
  </numFmts>
  <fonts count="50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color rgb="FF000000"/>
      <sz val="11"/>
    </font>
    <font>
      <name val="Arial"/>
      <family val="2"/>
      <i val="1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B3A5C"/>
      <sz val="11"/>
    </font>
    <font>
      <name val="Arial"/>
      <family val="2"/>
      <b val="1"/>
      <color rgb="FF00838F"/>
      <sz val="11"/>
    </font>
    <font>
      <name val="Arial"/>
      <family val="2"/>
      <b val="1"/>
      <color rgb="FFC00000"/>
      <sz val="10"/>
    </font>
    <font>
      <name val="Arial"/>
      <family val="2"/>
      <i val="1"/>
      <color rgb="FF444444"/>
      <sz val="10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1B3A5C"/>
      <sz val="10"/>
    </font>
    <font>
      <name val="Arial"/>
      <family val="2"/>
      <color rgb="FF000000"/>
      <sz val="10"/>
    </font>
    <font>
      <name val="Arial"/>
      <family val="2"/>
      <b val="1"/>
      <color rgb="FF375623"/>
      <sz val="10"/>
    </font>
    <font>
      <name val="Arial"/>
      <family val="2"/>
      <b val="1"/>
      <color rgb="FF7F6000"/>
      <sz val="10"/>
    </font>
    <font>
      <name val="Arial"/>
      <family val="2"/>
      <b val="1"/>
      <color rgb="FF00008B"/>
      <sz val="10"/>
    </font>
    <font>
      <name val="Arial"/>
      <family val="2"/>
      <color rgb="FF375623"/>
      <sz val="10"/>
    </font>
    <font>
      <name val="Arial"/>
      <family val="2"/>
      <color rgb="FF7F6000"/>
      <sz val="10"/>
    </font>
    <font>
      <name val="Arial"/>
      <family val="2"/>
      <color rgb="FFC00000"/>
      <sz val="10"/>
    </font>
    <font>
      <name val="Arial"/>
      <family val="2"/>
      <i val="1"/>
      <color rgb="FF333333"/>
      <sz val="9"/>
    </font>
    <font>
      <name val="Arial"/>
      <family val="2"/>
      <b val="1"/>
      <color rgb="FFC00000"/>
      <sz val="11"/>
    </font>
    <font>
      <name val="Arial"/>
      <family val="2"/>
      <i val="1"/>
      <color rgb="FFC00000"/>
      <sz val="10"/>
    </font>
    <font>
      <name val="Arial"/>
      <family val="2"/>
      <i val="1"/>
      <color rgb="FF1B3A5C"/>
      <sz val="10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i val="1"/>
      <color rgb="002E75B6"/>
      <sz val="8"/>
    </font>
    <font>
      <name val="Arial"/>
      <color rgb="00000000"/>
      <sz val="9"/>
    </font>
    <font>
      <name val="Arial"/>
      <b val="1"/>
      <color rgb="001B4F8A"/>
      <sz val="9"/>
    </font>
    <font>
      <name val="Arial"/>
      <color rgb="001B4F8A"/>
      <sz val="9"/>
    </font>
    <font>
      <name val="Arial"/>
      <i val="1"/>
      <color rgb="00666666"/>
      <sz val="8"/>
    </font>
    <font>
      <name val="Arial"/>
      <b val="1"/>
      <color rgb="001B3A5C"/>
      <sz val="9"/>
    </font>
    <font>
      <name val="Arial"/>
      <i val="1"/>
      <color rgb="00888888"/>
      <sz val="8"/>
    </font>
    <font>
      <name val="Arial"/>
      <color rgb="00000080"/>
      <sz val="9"/>
    </font>
    <font>
      <name val="Arial"/>
      <b val="1"/>
      <color rgb="00000000"/>
      <sz val="9"/>
    </font>
    <font>
      <name val="Arial"/>
      <b val="1"/>
      <color rgb="00276221"/>
      <sz val="9"/>
    </font>
    <font>
      <name val="Arial"/>
      <color rgb="00276221"/>
      <sz val="9"/>
    </font>
    <font>
      <name val="Arial"/>
      <b val="1"/>
      <color rgb="007D6608"/>
      <sz val="9"/>
    </font>
    <font>
      <name val="Arial"/>
      <color rgb="007D6608"/>
      <sz val="9"/>
    </font>
    <font>
      <name val="Arial"/>
      <b val="1"/>
      <color rgb="009C0006"/>
      <sz val="9"/>
    </font>
    <font>
      <name val="Arial"/>
      <color rgb="009C0006"/>
      <sz val="9"/>
    </font>
    <font>
      <name val="Arial"/>
      <i val="1"/>
      <color rgb="00AAAAAA"/>
      <sz val="9"/>
    </font>
    <font>
      <name val="Arial"/>
      <i val="1"/>
      <color rgb="002C2C2C"/>
      <sz val="8"/>
    </font>
    <font>
      <name val="Arial"/>
      <b val="1"/>
      <color rgb="002E75B6"/>
      <sz val="9"/>
    </font>
    <font>
      <name val="Arial"/>
      <color rgb="00888888"/>
      <sz val="9"/>
    </font>
    <font>
      <name val="Arial"/>
      <b val="1"/>
      <color rgb="005B2D8E"/>
      <sz val="9"/>
    </font>
    <font>
      <name val="Arial"/>
      <i val="1"/>
      <color rgb="002C2C2C"/>
      <sz val="9"/>
    </font>
    <font>
      <name val="Arial"/>
      <b val="1"/>
      <color rgb="001A7A8A"/>
      <sz val="9"/>
    </font>
    <font>
      <name val="Arial"/>
      <b val="1"/>
      <color rgb="002E7D32"/>
      <sz val="9"/>
    </font>
  </fonts>
  <fills count="36">
    <fill>
      <patternFill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D6E8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F6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5B4A9E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001B3A5C"/>
      </patternFill>
    </fill>
    <fill>
      <patternFill patternType="solid">
        <fgColor rgb="001A7A8A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3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5B2D8E"/>
      </patternFill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EDE7F6"/>
      </patternFill>
    </fill>
    <fill>
      <patternFill patternType="solid">
        <fgColor rgb="00E6F4F4"/>
      </patternFill>
    </fill>
    <fill>
      <patternFill patternType="solid">
        <fgColor rgb="00E8F5E9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838F"/>
      </left>
      <right style="thin">
        <color rgb="FF00838F"/>
      </right>
      <top style="thin">
        <color rgb="FF00838F"/>
      </top>
      <bottom style="thin">
        <color rgb="FF00838F"/>
      </bottom>
      <diagonal/>
    </border>
    <border>
      <left style="dashed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002E75B6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005B2D8E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A7A8A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D32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1"/>
  </cellStyleXfs>
  <cellXfs count="2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4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left" vertical="center" wrapText="1"/>
    </xf>
    <xf numFmtId="0" fontId="7" fillId="9" borderId="5" applyAlignment="1" pivotButton="0" quotePrefix="0" xfId="0">
      <alignment horizontal="left" vertical="center"/>
    </xf>
    <xf numFmtId="0" fontId="8" fillId="9" borderId="6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0" fillId="3" borderId="7" applyAlignment="1" pivotButton="0" quotePrefix="0" xfId="0">
      <alignment horizontal="center" vertical="center"/>
    </xf>
    <xf numFmtId="0" fontId="10" fillId="10" borderId="7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10" fillId="11" borderId="7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10" fillId="12" borderId="7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 wrapText="1"/>
    </xf>
    <xf numFmtId="0" fontId="11" fillId="3" borderId="7" applyAlignment="1" pivotButton="0" quotePrefix="0" xfId="0">
      <alignment horizontal="center" vertical="center" wrapText="1"/>
    </xf>
    <xf numFmtId="0" fontId="11" fillId="10" borderId="7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11" fillId="12" borderId="7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left" vertical="center"/>
    </xf>
    <xf numFmtId="164" fontId="13" fillId="4" borderId="3" applyAlignment="1" pivotButton="0" quotePrefix="0" xfId="0">
      <alignment horizontal="center" vertical="center"/>
    </xf>
    <xf numFmtId="1" fontId="13" fillId="4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4" fillId="13" borderId="3" applyAlignment="1" pivotButton="0" quotePrefix="0" xfId="0">
      <alignment horizontal="center" vertical="center"/>
    </xf>
    <xf numFmtId="165" fontId="14" fillId="1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left" vertical="center"/>
    </xf>
    <xf numFmtId="164" fontId="13" fillId="6" borderId="3" applyAlignment="1" pivotButton="0" quotePrefix="0" xfId="0">
      <alignment horizontal="center" vertical="center"/>
    </xf>
    <xf numFmtId="1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7" fillId="14" borderId="3" applyAlignment="1" pivotButton="0" quotePrefix="0" xfId="0">
      <alignment horizontal="center" vertical="center"/>
    </xf>
    <xf numFmtId="0" fontId="15" fillId="15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165" fontId="13" fillId="6" borderId="3" applyAlignment="1" pivotButton="0" quotePrefix="0" xfId="0">
      <alignment horizontal="center" vertical="center"/>
    </xf>
    <xf numFmtId="165" fontId="13" fillId="4" borderId="3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166" fontId="12" fillId="4" borderId="3" applyAlignment="1" pivotButton="0" quotePrefix="0" xfId="0">
      <alignment horizontal="center" vertical="center"/>
    </xf>
    <xf numFmtId="9" fontId="14" fillId="13" borderId="3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center"/>
    </xf>
    <xf numFmtId="0" fontId="13" fillId="4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13" fillId="4" borderId="3" applyAlignment="1" pivotButton="0" quotePrefix="0" xfId="0">
      <alignment horizontal="left" vertical="center"/>
    </xf>
    <xf numFmtId="3" fontId="16" fillId="16" borderId="3" applyAlignment="1" pivotButton="0" quotePrefix="0" xfId="0">
      <alignment horizontal="center" vertical="center"/>
    </xf>
    <xf numFmtId="10" fontId="14" fillId="13" borderId="3" applyAlignment="1" pivotButton="0" quotePrefix="0" xfId="0">
      <alignment horizontal="center" vertical="center"/>
    </xf>
    <xf numFmtId="167" fontId="13" fillId="4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167" fontId="13" fillId="6" borderId="3" applyAlignment="1" pivotButton="0" quotePrefix="0" xfId="0">
      <alignment horizontal="center" vertical="center"/>
    </xf>
    <xf numFmtId="10" fontId="15" fillId="15" borderId="3" applyAlignment="1" pivotButton="0" quotePrefix="0" xfId="0">
      <alignment horizontal="center" vertical="center"/>
    </xf>
    <xf numFmtId="0" fontId="2" fillId="16" borderId="3" applyAlignment="1" pivotButton="0" quotePrefix="0" xfId="0">
      <alignment horizontal="left" vertical="center"/>
    </xf>
    <xf numFmtId="10" fontId="13" fillId="4" borderId="3" applyAlignment="1" pivotButton="0" quotePrefix="0" xfId="0">
      <alignment horizontal="center" vertical="center"/>
    </xf>
    <xf numFmtId="10" fontId="13" fillId="6" borderId="3" applyAlignment="1" pivotButton="0" quotePrefix="0" xfId="0">
      <alignment horizontal="center" vertical="center"/>
    </xf>
    <xf numFmtId="0" fontId="14" fillId="13" borderId="3" applyAlignment="1" pivotButton="0" quotePrefix="0" xfId="0">
      <alignment horizontal="left" vertical="center"/>
    </xf>
    <xf numFmtId="0" fontId="17" fillId="13" borderId="3" applyAlignment="1" pivotButton="0" quotePrefix="0" xfId="0">
      <alignment horizontal="left" vertical="center"/>
    </xf>
    <xf numFmtId="0" fontId="15" fillId="15" borderId="3" applyAlignment="1" pivotButton="0" quotePrefix="0" xfId="0">
      <alignment horizontal="left" vertical="center"/>
    </xf>
    <xf numFmtId="0" fontId="18" fillId="15" borderId="3" applyAlignment="1" pivotButton="0" quotePrefix="0" xfId="0">
      <alignment horizontal="left" vertical="center"/>
    </xf>
    <xf numFmtId="0" fontId="7" fillId="14" borderId="3" applyAlignment="1" pivotButton="0" quotePrefix="0" xfId="0">
      <alignment horizontal="left" vertical="center"/>
    </xf>
    <xf numFmtId="0" fontId="19" fillId="14" borderId="3" applyAlignment="1" pivotButton="0" quotePrefix="0" xfId="0">
      <alignment horizontal="left" vertical="center"/>
    </xf>
    <xf numFmtId="0" fontId="11" fillId="17" borderId="7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left" vertical="center" wrapText="1"/>
    </xf>
    <xf numFmtId="0" fontId="20" fillId="6" borderId="3" applyAlignment="1" pivotButton="0" quotePrefix="0" xfId="0">
      <alignment horizontal="left" vertical="center" wrapText="1"/>
    </xf>
    <xf numFmtId="0" fontId="21" fillId="14" borderId="3" applyAlignment="1" pivotButton="0" quotePrefix="0" xfId="0">
      <alignment horizontal="center" vertical="center"/>
    </xf>
    <xf numFmtId="0" fontId="22" fillId="14" borderId="3" applyAlignment="1" pivotButton="0" quotePrefix="0" xfId="0">
      <alignment horizontal="left" vertical="center"/>
    </xf>
    <xf numFmtId="0" fontId="23" fillId="4" borderId="3" applyAlignment="1" pivotButton="0" quotePrefix="0" xfId="0">
      <alignment horizontal="left" vertical="center" wrapText="1"/>
    </xf>
    <xf numFmtId="0" fontId="24" fillId="18" borderId="9" applyAlignment="1" pivotButton="0" quotePrefix="0" xfId="0">
      <alignment horizontal="left" vertical="center"/>
    </xf>
    <xf numFmtId="0" fontId="25" fillId="19" borderId="9" applyAlignment="1" pivotButton="0" quotePrefix="0" xfId="0">
      <alignment horizontal="left" vertical="center"/>
    </xf>
    <xf numFmtId="0" fontId="26" fillId="18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left" vertical="center"/>
    </xf>
    <xf numFmtId="0" fontId="28" fillId="22" borderId="9" applyAlignment="1" pivotButton="0" quotePrefix="0" xfId="0">
      <alignment horizontal="left" vertical="center" wrapText="1"/>
    </xf>
    <xf numFmtId="0" fontId="28" fillId="23" borderId="9" applyAlignment="1" pivotButton="0" quotePrefix="0" xfId="0">
      <alignment horizontal="left" vertical="center"/>
    </xf>
    <xf numFmtId="0" fontId="28" fillId="23" borderId="9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9" fillId="21" borderId="9" applyAlignment="1" pivotButton="0" quotePrefix="0" xfId="0">
      <alignment horizontal="left" vertical="center"/>
    </xf>
    <xf numFmtId="0" fontId="29" fillId="21" borderId="9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 wrapText="1"/>
    </xf>
    <xf numFmtId="0" fontId="31" fillId="24" borderId="9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 wrapText="1"/>
    </xf>
    <xf numFmtId="0" fontId="26" fillId="18" borderId="1" applyAlignment="1" pivotButton="0" quotePrefix="0" xfId="0">
      <alignment horizontal="center" vertical="center"/>
    </xf>
    <xf numFmtId="0" fontId="26" fillId="20" borderId="1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7" fillId="21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26" fillId="18" borderId="9" applyAlignment="1" pivotButton="0" quotePrefix="0" xfId="0">
      <alignment horizontal="center" vertical="center" wrapText="1"/>
    </xf>
    <xf numFmtId="0" fontId="26" fillId="20" borderId="9" applyAlignment="1" pivotButton="0" quotePrefix="0" xfId="0">
      <alignment horizontal="center" vertical="center" wrapText="1"/>
    </xf>
    <xf numFmtId="1" fontId="28" fillId="22" borderId="9" applyAlignment="1" pivotButton="0" quotePrefix="0" xfId="0">
      <alignment horizontal="center" vertical="center"/>
    </xf>
    <xf numFmtId="0" fontId="29" fillId="21" borderId="14" applyAlignment="1" pivotButton="0" quotePrefix="0" xfId="0">
      <alignment horizontal="left" vertical="center" wrapText="1"/>
    </xf>
    <xf numFmtId="0" fontId="30" fillId="21" borderId="14" applyAlignment="1" pivotButton="0" quotePrefix="0" xfId="0">
      <alignment horizontal="left" vertical="center" wrapText="1"/>
    </xf>
    <xf numFmtId="165" fontId="28" fillId="22" borderId="9" applyAlignment="1" pivotButton="0" quotePrefix="0" xfId="0">
      <alignment horizontal="left" vertical="center" wrapText="1"/>
    </xf>
    <xf numFmtId="0" fontId="28" fillId="22" borderId="9" applyAlignment="1" pivotButton="0" quotePrefix="0" xfId="0">
      <alignment horizontal="center" vertical="center"/>
    </xf>
    <xf numFmtId="1" fontId="28" fillId="23" borderId="9" applyAlignment="1" pivotButton="0" quotePrefix="0" xfId="0">
      <alignment horizontal="center" vertical="center"/>
    </xf>
    <xf numFmtId="165" fontId="28" fillId="23" borderId="9" applyAlignment="1" pivotButton="0" quotePrefix="0" xfId="0">
      <alignment horizontal="left" vertical="center" wrapText="1"/>
    </xf>
    <xf numFmtId="0" fontId="28" fillId="23" borderId="9" applyAlignment="1" pivotButton="0" quotePrefix="0" xfId="0">
      <alignment horizontal="center" vertical="center"/>
    </xf>
    <xf numFmtId="0" fontId="26" fillId="18" borderId="8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6" fillId="18" borderId="3" applyAlignment="1" pivotButton="0" quotePrefix="0" xfId="0">
      <alignment horizontal="center" vertical="center"/>
    </xf>
    <xf numFmtId="166" fontId="12" fillId="18" borderId="3" applyAlignment="1" pivotButton="0" quotePrefix="0" xfId="0">
      <alignment horizontal="center" vertical="center"/>
    </xf>
    <xf numFmtId="0" fontId="14" fillId="18" borderId="3" applyAlignment="1" pivotButton="0" quotePrefix="0" xfId="0">
      <alignment horizontal="center" vertical="center"/>
    </xf>
    <xf numFmtId="9" fontId="14" fillId="18" borderId="3" applyAlignment="1" pivotButton="0" quotePrefix="0" xfId="0">
      <alignment horizontal="center" vertical="center"/>
    </xf>
    <xf numFmtId="165" fontId="26" fillId="18" borderId="3" applyAlignment="1" pivotButton="0" quotePrefix="0" xfId="0">
      <alignment horizontal="center" vertical="center"/>
    </xf>
    <xf numFmtId="0" fontId="0" fillId="18" borderId="0" pivotButton="0" quotePrefix="0" xfId="0"/>
    <xf numFmtId="0" fontId="26" fillId="18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/>
    </xf>
    <xf numFmtId="3" fontId="16" fillId="0" borderId="3" applyAlignment="1" pivotButton="0" quotePrefix="0" xfId="0">
      <alignment horizontal="center" vertical="center"/>
    </xf>
    <xf numFmtId="10" fontId="14" fillId="0" borderId="3" applyAlignment="1" pivotButton="0" quotePrefix="0" xfId="0">
      <alignment horizontal="center" vertical="center"/>
    </xf>
    <xf numFmtId="167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10" fontId="15" fillId="0" borderId="3" applyAlignment="1" pivotButton="0" quotePrefix="0" xfId="0">
      <alignment horizontal="center" vertical="center"/>
    </xf>
    <xf numFmtId="10" fontId="13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9" fillId="0" borderId="3" applyAlignment="1" pivotButton="0" quotePrefix="0" xfId="0">
      <alignment horizontal="left" vertical="center"/>
    </xf>
    <xf numFmtId="0" fontId="20" fillId="0" borderId="3" applyAlignment="1" pivotButton="0" quotePrefix="0" xfId="0">
      <alignment horizontal="left" vertical="center" wrapText="1"/>
    </xf>
    <xf numFmtId="164" fontId="13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21" fillId="0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 vertical="center"/>
    </xf>
    <xf numFmtId="0" fontId="23" fillId="0" borderId="3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24" fillId="18" borderId="9" applyAlignment="1" pivotButton="0" quotePrefix="0" xfId="0">
      <alignment horizontal="left" vertical="center"/>
    </xf>
    <xf numFmtId="0" fontId="25" fillId="19" borderId="9" applyAlignment="1" pivotButton="0" quotePrefix="0" xfId="0">
      <alignment horizontal="left" vertical="center"/>
    </xf>
    <xf numFmtId="0" fontId="26" fillId="18" borderId="9" applyAlignment="1" pivotButton="0" quotePrefix="0" xfId="0">
      <alignment horizontal="center" vertical="center"/>
    </xf>
    <xf numFmtId="0" fontId="26" fillId="20" borderId="9" applyAlignment="1" pivotButton="0" quotePrefix="0" xfId="0">
      <alignment horizontal="center" vertical="center"/>
    </xf>
    <xf numFmtId="0" fontId="32" fillId="22" borderId="9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32" fillId="23" borderId="9" applyAlignment="1" pivotButton="0" quotePrefix="0" xfId="0">
      <alignment horizontal="left" vertical="center"/>
    </xf>
    <xf numFmtId="0" fontId="28" fillId="23" borderId="9" applyAlignment="1" pivotButton="0" quotePrefix="0" xfId="0">
      <alignment horizontal="center" vertical="center"/>
    </xf>
    <xf numFmtId="0" fontId="33" fillId="24" borderId="9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3" fontId="26" fillId="20" borderId="9" applyAlignment="1" pivotButton="0" quotePrefix="0" xfId="0">
      <alignment horizontal="center" vertical="center" wrapText="1"/>
    </xf>
    <xf numFmtId="10" fontId="26" fillId="20" borderId="9" applyAlignment="1" pivotButton="0" quotePrefix="0" xfId="0">
      <alignment horizontal="center" vertical="center" wrapText="1"/>
    </xf>
    <xf numFmtId="167" fontId="26" fillId="20" borderId="9" applyAlignment="1" pivotButton="0" quotePrefix="0" xfId="0">
      <alignment horizontal="center" vertical="center" wrapText="1"/>
    </xf>
    <xf numFmtId="0" fontId="28" fillId="22" borderId="9" applyAlignment="1" pivotButton="0" quotePrefix="0" xfId="0">
      <alignment horizontal="left" vertical="center"/>
    </xf>
    <xf numFmtId="3" fontId="34" fillId="22" borderId="9" applyAlignment="1" pivotButton="0" quotePrefix="0" xfId="0">
      <alignment horizontal="center" vertical="center"/>
    </xf>
    <xf numFmtId="10" fontId="28" fillId="22" borderId="9" applyAlignment="1" pivotButton="0" quotePrefix="0" xfId="0">
      <alignment horizontal="center" vertical="center"/>
    </xf>
    <xf numFmtId="10" fontId="34" fillId="22" borderId="9" applyAlignment="1" pivotButton="0" quotePrefix="0" xfId="0">
      <alignment horizontal="center" vertical="center"/>
    </xf>
    <xf numFmtId="0" fontId="35" fillId="22" borderId="9" applyAlignment="1" pivotButton="0" quotePrefix="0" xfId="0">
      <alignment horizontal="center" vertical="center"/>
    </xf>
    <xf numFmtId="0" fontId="28" fillId="23" borderId="9" applyAlignment="1" pivotButton="0" quotePrefix="0" xfId="0">
      <alignment horizontal="left" vertical="center"/>
    </xf>
    <xf numFmtId="3" fontId="34" fillId="23" borderId="9" applyAlignment="1" pivotButton="0" quotePrefix="0" xfId="0">
      <alignment horizontal="center" vertical="center"/>
    </xf>
    <xf numFmtId="10" fontId="28" fillId="23" borderId="9" applyAlignment="1" pivotButton="0" quotePrefix="0" xfId="0">
      <alignment horizontal="center" vertical="center"/>
    </xf>
    <xf numFmtId="10" fontId="34" fillId="23" borderId="9" applyAlignment="1" pivotButton="0" quotePrefix="0" xfId="0">
      <alignment horizontal="center" vertical="center"/>
    </xf>
    <xf numFmtId="0" fontId="35" fillId="23" borderId="9" applyAlignment="1" pivotButton="0" quotePrefix="0" xfId="0">
      <alignment horizontal="center" vertical="center"/>
    </xf>
    <xf numFmtId="0" fontId="34" fillId="23" borderId="9" applyAlignment="1" pivotButton="0" quotePrefix="0" xfId="0">
      <alignment horizontal="center" vertical="center"/>
    </xf>
    <xf numFmtId="0" fontId="34" fillId="22" borderId="9" applyAlignment="1" pivotButton="0" quotePrefix="0" xfId="0">
      <alignment horizontal="center" vertical="center"/>
    </xf>
    <xf numFmtId="0" fontId="36" fillId="25" borderId="9" applyAlignment="1" pivotButton="0" quotePrefix="0" xfId="0">
      <alignment horizontal="center" vertical="center"/>
    </xf>
    <xf numFmtId="0" fontId="37" fillId="25" borderId="9" applyAlignment="1" pivotButton="0" quotePrefix="0" xfId="0">
      <alignment horizontal="left" vertical="center"/>
    </xf>
    <xf numFmtId="0" fontId="38" fillId="26" borderId="9" applyAlignment="1" pivotButton="0" quotePrefix="0" xfId="0">
      <alignment horizontal="center" vertical="center"/>
    </xf>
    <xf numFmtId="0" fontId="39" fillId="26" borderId="9" applyAlignment="1" pivotButton="0" quotePrefix="0" xfId="0">
      <alignment horizontal="left" vertical="center"/>
    </xf>
    <xf numFmtId="0" fontId="40" fillId="27" borderId="9" applyAlignment="1" pivotButton="0" quotePrefix="0" xfId="0">
      <alignment horizontal="center" vertical="center"/>
    </xf>
    <xf numFmtId="0" fontId="41" fillId="27" borderId="9" applyAlignment="1" pivotButton="0" quotePrefix="0" xfId="0">
      <alignment horizontal="left" vertical="center"/>
    </xf>
    <xf numFmtId="164" fontId="28" fillId="23" borderId="9" applyAlignment="1" pivotButton="0" quotePrefix="0" xfId="0">
      <alignment horizontal="left" vertical="center" wrapText="1"/>
    </xf>
    <xf numFmtId="164" fontId="28" fillId="22" borderId="9" applyAlignment="1" pivotButton="0" quotePrefix="0" xfId="0">
      <alignment horizontal="left" vertical="center" wrapText="1"/>
    </xf>
    <xf numFmtId="0" fontId="26" fillId="18" borderId="9" applyAlignment="1" pivotButton="0" quotePrefix="0" xfId="0">
      <alignment horizontal="left" vertical="center"/>
    </xf>
    <xf numFmtId="0" fontId="42" fillId="18" borderId="9" applyAlignment="1" pivotButton="0" quotePrefix="0" xfId="0">
      <alignment horizontal="left" vertical="center"/>
    </xf>
    <xf numFmtId="0" fontId="24" fillId="18" borderId="9" applyAlignment="1" pivotButton="0" quotePrefix="0" xfId="0">
      <alignment horizontal="left" vertical="center"/>
    </xf>
    <xf numFmtId="0" fontId="25" fillId="19" borderId="9" applyAlignment="1" pivotButton="0" quotePrefix="0" xfId="0">
      <alignment horizontal="left" vertical="center"/>
    </xf>
    <xf numFmtId="0" fontId="43" fillId="31" borderId="9" applyAlignment="1" pivotButton="0" quotePrefix="0" xfId="0">
      <alignment horizontal="left" vertical="center"/>
    </xf>
    <xf numFmtId="0" fontId="26" fillId="28" borderId="9" applyAlignment="1" pivotButton="0" quotePrefix="0" xfId="0">
      <alignment horizontal="center" vertical="center" wrapText="1"/>
    </xf>
    <xf numFmtId="0" fontId="26" fillId="19" borderId="9" applyAlignment="1" pivotButton="0" quotePrefix="0" xfId="0">
      <alignment horizontal="center" vertical="center" wrapText="1"/>
    </xf>
    <xf numFmtId="0" fontId="26" fillId="29" borderId="9" applyAlignment="1" pivotButton="0" quotePrefix="0" xfId="0">
      <alignment horizontal="center" vertical="center" wrapText="1"/>
    </xf>
    <xf numFmtId="0" fontId="44" fillId="32" borderId="9" applyAlignment="1" pivotButton="0" quotePrefix="0" xfId="0">
      <alignment horizontal="left" vertical="center"/>
    </xf>
    <xf numFmtId="0" fontId="33" fillId="30" borderId="9" applyAlignment="1" pivotButton="0" quotePrefix="0" xfId="0">
      <alignment horizontal="left" vertical="center"/>
    </xf>
    <xf numFmtId="0" fontId="45" fillId="30" borderId="9" applyAlignment="1" pivotButton="0" quotePrefix="0" xfId="0">
      <alignment horizontal="center" vertical="center"/>
    </xf>
    <xf numFmtId="0" fontId="28" fillId="30" borderId="9" applyAlignment="1" pivotButton="0" quotePrefix="0" xfId="0">
      <alignment horizontal="left" vertical="center"/>
    </xf>
    <xf numFmtId="0" fontId="28" fillId="30" borderId="9" applyAlignment="1" pivotButton="0" quotePrefix="0" xfId="0">
      <alignment horizontal="center" vertical="center"/>
    </xf>
    <xf numFmtId="0" fontId="35" fillId="30" borderId="23" applyAlignment="1" pivotButton="0" quotePrefix="0" xfId="0">
      <alignment horizontal="center" vertical="center"/>
    </xf>
    <xf numFmtId="0" fontId="35" fillId="30" borderId="24" applyAlignment="1" pivotButton="0" quotePrefix="0" xfId="0">
      <alignment horizontal="center" vertical="center"/>
    </xf>
    <xf numFmtId="0" fontId="35" fillId="30" borderId="25" applyAlignment="1" pivotButton="0" quotePrefix="0" xfId="0">
      <alignment horizontal="center" vertical="center"/>
    </xf>
    <xf numFmtId="0" fontId="28" fillId="30" borderId="9" applyAlignment="1" pivotButton="0" quotePrefix="0" xfId="0">
      <alignment horizontal="left" vertical="center" wrapText="1"/>
    </xf>
    <xf numFmtId="0" fontId="45" fillId="23" borderId="9" applyAlignment="1" pivotButton="0" quotePrefix="0" xfId="0">
      <alignment horizontal="center" vertical="center"/>
    </xf>
    <xf numFmtId="0" fontId="28" fillId="23" borderId="9" applyAlignment="1" pivotButton="0" quotePrefix="0" xfId="0">
      <alignment horizontal="left" vertical="center"/>
    </xf>
    <xf numFmtId="0" fontId="28" fillId="23" borderId="9" applyAlignment="1" pivotButton="0" quotePrefix="0" xfId="0">
      <alignment horizontal="center" vertical="center"/>
    </xf>
    <xf numFmtId="0" fontId="35" fillId="23" borderId="23" applyAlignment="1" pivotButton="0" quotePrefix="0" xfId="0">
      <alignment horizontal="center" vertical="center"/>
    </xf>
    <xf numFmtId="0" fontId="35" fillId="23" borderId="24" applyAlignment="1" pivotButton="0" quotePrefix="0" xfId="0">
      <alignment horizontal="center" vertical="center"/>
    </xf>
    <xf numFmtId="0" fontId="35" fillId="23" borderId="25" applyAlignment="1" pivotButton="0" quotePrefix="0" xfId="0">
      <alignment horizontal="center" vertical="center"/>
    </xf>
    <xf numFmtId="0" fontId="26" fillId="18" borderId="9" applyAlignment="1" pivotButton="0" quotePrefix="0" xfId="0">
      <alignment horizontal="center" vertical="center"/>
    </xf>
    <xf numFmtId="0" fontId="46" fillId="33" borderId="9" applyAlignment="1" pivotButton="0" quotePrefix="0" xfId="0">
      <alignment horizontal="left" vertical="center"/>
    </xf>
    <xf numFmtId="0" fontId="47" fillId="33" borderId="9" applyAlignment="1" pivotButton="0" quotePrefix="0" xfId="0">
      <alignment horizontal="left" vertical="center"/>
    </xf>
    <xf numFmtId="0" fontId="48" fillId="34" borderId="9" applyAlignment="1" pivotButton="0" quotePrefix="0" xfId="0">
      <alignment horizontal="left" vertical="center"/>
    </xf>
    <xf numFmtId="0" fontId="47" fillId="34" borderId="9" applyAlignment="1" pivotButton="0" quotePrefix="0" xfId="0">
      <alignment horizontal="left" vertical="center"/>
    </xf>
    <xf numFmtId="0" fontId="49" fillId="35" borderId="9" applyAlignment="1" pivotButton="0" quotePrefix="0" xfId="0">
      <alignment horizontal="left" vertical="center"/>
    </xf>
    <xf numFmtId="0" fontId="47" fillId="35" borderId="9" applyAlignment="1" pivotButton="0" quotePrefix="0" xfId="0">
      <alignment horizontal="left" vertical="center"/>
    </xf>
    <xf numFmtId="0" fontId="26" fillId="28" borderId="0" applyAlignment="1" pivotButton="0" quotePrefix="0" xfId="0">
      <alignment horizontal="center" vertical="center"/>
    </xf>
  </cellXfs>
  <cellStyles count="1">
    <cellStyle name="Normal" xfId="0" builtinId="0"/>
  </cellStyles>
  <dxfs count="8">
    <dxf>
      <font>
        <name val="Arial"/>
        <b val="1"/>
        <color rgb="009C0006"/>
        <sz val="9"/>
      </font>
      <fill>
        <patternFill patternType="solid">
          <fgColor rgb="00FCE4D6"/>
        </patternFill>
      </fill>
    </dxf>
    <dxf>
      <font>
        <name val="Arial"/>
        <color rgb="007D6608"/>
        <sz val="9"/>
      </font>
      <fill>
        <patternFill patternType="solid">
          <fgColor rgb="00FFF2CC"/>
        </patternFill>
      </fill>
    </dxf>
    <dxf>
      <font>
        <name val="Arial"/>
        <b val="1"/>
        <color rgb="00276221"/>
        <sz val="9"/>
      </font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name val="Arial"/>
        <b val="1"/>
        <color rgb="007D6608"/>
        <sz val="9"/>
      </font>
      <fill>
        <patternFill patternType="solid">
          <fgColor rgb="00FFF2CC"/>
        </patternFill>
      </fill>
    </dxf>
    <dxf>
      <font>
        <name val="Arial"/>
        <b val="1"/>
        <color rgb="00276221"/>
        <sz val="9"/>
      </font>
      <fill>
        <patternFill patternType="solid">
          <fgColor rgb="00D4EDDA"/>
        </patternFill>
      </fill>
    </dxf>
    <dxf>
      <font>
        <name val="Arial"/>
        <b val="1"/>
        <color rgb="009C0006"/>
        <sz val="9"/>
      </font>
      <fill>
        <patternFill patternType="solid">
          <fgColor rgb="00F8D7DA"/>
        </patternFill>
      </fill>
    </dxf>
    <dxf>
      <font>
        <name val="Arial"/>
        <b val="1"/>
        <color rgb="007D6608"/>
        <sz val="9"/>
      </font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tc={7D8FE1A0-6C71-C449-8926-6D45C0CDE91D}</author>
  </authors>
  <commentList>
    <comment ref="H1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number shows how many additional chargebacks you can receive before hitting your processor threshold. It is a dispute count, not a number of days.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B3A5C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10" defaultColWidth="8.83203125" defaultRowHeight="15"/>
  <cols>
    <col width="14" customWidth="1" min="1" max="1"/>
    <col width="72" customWidth="1" min="2" max="2"/>
    <col hidden="1" width="13" customWidth="1" min="3" max="1001"/>
  </cols>
  <sheetData>
    <row r="1" ht="26" customHeight="1">
      <c r="A1" s="187" t="inlineStr">
        <is>
          <t>CHARGEBACK DEFENDER — DISPUTE RESPONSE TRACKER</t>
        </is>
      </c>
      <c r="B1" s="149" t="n"/>
    </row>
    <row r="2" ht="18" customHeight="1">
      <c r="A2" s="188" t="inlineStr">
        <is>
          <t xml:space="preserve">  Operational control centre — disputes, deadlines, evidence, outcomes, rate monitoring</t>
        </is>
      </c>
      <c r="B2" s="149" t="n"/>
    </row>
    <row r="3" ht="16" customHeight="1">
      <c r="A3" s="208" t="inlineStr">
        <is>
          <t>TAB</t>
        </is>
      </c>
      <c r="B3" s="208" t="inlineStr">
        <is>
          <t>PURPOSE</t>
        </is>
      </c>
    </row>
    <row r="4" ht="18" customHeight="1">
      <c r="A4" s="165" t="inlineStr">
        <is>
          <t>Instructions</t>
        </is>
      </c>
      <c r="B4" s="83" t="inlineStr">
        <is>
          <t>You are here. Read before using the Tracker.</t>
        </is>
      </c>
    </row>
    <row r="5" ht="18" customHeight="1">
      <c r="A5" s="203" t="inlineStr">
        <is>
          <t>Dispute Log</t>
        </is>
      </c>
      <c r="B5" s="85" t="inlineStr">
        <is>
          <t>Log every dispute: intake, triage, evidence, submission, outcome. Three auto-columns drive next actions.</t>
        </is>
      </c>
    </row>
    <row r="6" ht="18" customHeight="1">
      <c r="A6" s="165" t="inlineStr">
        <is>
          <t>Rate Monitor</t>
        </is>
      </c>
      <c r="B6" s="83" t="inlineStr">
        <is>
          <t>Track monthly chargeback rate vs. processor thresholds. Chargebacks-to-Breach updates automatically.</t>
        </is>
      </c>
    </row>
    <row r="7" ht="18" customHeight="1">
      <c r="A7" s="203" t="inlineStr">
        <is>
          <t>Learning Loop</t>
        </is>
      </c>
      <c r="B7" s="85" t="inlineStr">
        <is>
          <t>Post-resolution review. Record what was missing. Stops you losing the same dispute twice.</t>
        </is>
      </c>
    </row>
    <row r="8" ht="22" customHeight="1">
      <c r="A8" s="86" t="n"/>
      <c r="B8" s="87" t="n"/>
    </row>
    <row r="9" ht="16" customHeight="1">
      <c r="A9" s="208" t="inlineStr">
        <is>
          <t>STEP</t>
        </is>
      </c>
      <c r="B9" s="208" t="inlineStr">
        <is>
          <t>ACTION</t>
        </is>
      </c>
    </row>
    <row r="10" ht="32" customHeight="1">
      <c r="A10" s="165" t="inlineStr">
        <is>
          <t>STEP 1</t>
        </is>
      </c>
      <c r="B10" s="83" t="inlineStr">
        <is>
          <t>When a dispute arrives — open Dispute Log and log it immediately. Enter Dispute Ref, Date Received, Deadline, Processor, Card Network, Reason Code, and Dispute Type.</t>
        </is>
      </c>
    </row>
    <row r="11" ht="32" customHeight="1">
      <c r="A11" s="88" t="inlineStr">
        <is>
          <t>STEP 2</t>
        </is>
      </c>
      <c r="B11" s="89" t="inlineStr">
        <is>
          <t>Cols L, M, N update automatically. L = Next Action. M = Evidence Checklist for your dispute type. N = Template to use. These update at every stage as you fill the row.</t>
        </is>
      </c>
    </row>
    <row r="12" ht="32" customHeight="1">
      <c r="A12" s="165" t="inlineStr">
        <is>
          <t>STEP 3</t>
        </is>
      </c>
      <c r="B12" s="83" t="inlineStr">
        <is>
          <t>Run the Fight-or-Flight Calculator (separate file). Enter your decision (Fight / Accept) in col K. Next Action updates.</t>
        </is>
      </c>
    </row>
    <row r="13" ht="32" customHeight="1">
      <c r="A13" s="203" t="inlineStr">
        <is>
          <t>STEP 4</t>
        </is>
      </c>
      <c r="B13" s="85" t="inlineStr">
        <is>
          <t>Gather evidence per col M checklist. Tick cols O–R as you complete each category. Set col S to "Yes" when evidence is ready — Next Action will prompt you to submit.</t>
        </is>
      </c>
    </row>
    <row r="14" ht="32" customHeight="1">
      <c r="A14" s="165" t="inlineStr">
        <is>
          <t>STEP 5</t>
        </is>
      </c>
      <c r="B14" s="83" t="inlineStr">
        <is>
          <t>Submit the response. Record submission date (col T) and confirmation number (col U). Next Action shows "Awaiting decision."</t>
        </is>
      </c>
    </row>
    <row r="15" ht="32" customHeight="1">
      <c r="A15" s="203" t="inlineStr">
        <is>
          <t>STEP 6</t>
        </is>
      </c>
      <c r="B15" s="85" t="inlineStr">
        <is>
          <t>When outcome arrives — log Win/Loss/Accepted in col V. For every Loss — complete a Learning Loop row.</t>
        </is>
      </c>
    </row>
    <row r="16" ht="32" customHeight="1">
      <c r="A16" s="165" t="inlineStr">
        <is>
          <t>STEP 7</t>
        </is>
      </c>
      <c r="B16" s="83" t="inlineStr">
        <is>
          <t>Update Rate Monitor monthly. Shows proximity to processor thresholds and chargebacks remaining until breach.</t>
        </is>
      </c>
    </row>
    <row r="17" ht="24" customHeight="1">
      <c r="A17" s="90" t="n"/>
      <c r="B17" s="91" t="n"/>
    </row>
    <row r="18" ht="28" customHeight="1">
      <c r="A18" s="92" t="inlineStr">
        <is>
          <t>DISCLAIMER: Educational workflow tool only. Not legal advice. No guarantee of dispute outcome. Verify current processor thresholds and deadlines — these change.</t>
        </is>
      </c>
      <c r="B18" s="149" t="n"/>
    </row>
    <row r="19" ht="44" customHeight="1">
      <c r="A19" s="93" t="n"/>
      <c r="B19" s="94" t="n"/>
    </row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</sheetData>
  <mergeCells count="3">
    <mergeCell ref="A18:B18"/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28" customWidth="1" min="10" max="10"/>
  </cols>
  <sheetData>
    <row r="1" ht="26" customHeight="1">
      <c r="A1" s="187" t="inlineStr">
        <is>
          <t xml:space="preserve">  CHARGEBACK DEFENDER — CHECKPOINT STATUS DASHBOARD</t>
        </is>
      </c>
      <c r="B1" s="150" t="n"/>
      <c r="C1" s="150" t="n"/>
      <c r="D1" s="150" t="n"/>
      <c r="E1" s="150" t="n"/>
      <c r="F1" s="150" t="n"/>
      <c r="G1" s="150" t="n"/>
      <c r="H1" s="150" t="n"/>
      <c r="I1" s="150" t="n"/>
      <c r="J1" s="149" t="n"/>
    </row>
    <row r="2" ht="18" customHeight="1">
      <c r="A2" s="188" t="inlineStr">
        <is>
          <t xml:space="preserve">  Live view of all disputes. Checkpoints update automatically from Dispute Log. A dispute is ready to submit when Checkpoints 1, 2, and 3 all show ✓ CLEAR.</t>
        </is>
      </c>
      <c r="B2" s="150" t="n"/>
      <c r="C2" s="150" t="n"/>
      <c r="D2" s="150" t="n"/>
      <c r="E2" s="150" t="n"/>
      <c r="F2" s="150" t="n"/>
      <c r="G2" s="150" t="n"/>
      <c r="H2" s="150" t="n"/>
      <c r="I2" s="150" t="n"/>
      <c r="J2" s="149" t="n"/>
    </row>
    <row r="3" ht="14" customHeight="1">
      <c r="A3" s="189" t="inlineStr">
        <is>
          <t xml:space="preserve">  ✓ CLEAR = checkpoint passed   ✗ BLOCKED = criteria not met   READY = evidence done, submit now   N/A = accepted, no response needed</t>
        </is>
      </c>
      <c r="B3" s="150" t="n"/>
      <c r="C3" s="150" t="n"/>
      <c r="D3" s="150" t="n"/>
      <c r="E3" s="150" t="n"/>
      <c r="F3" s="150" t="n"/>
      <c r="G3" s="150" t="n"/>
      <c r="H3" s="150" t="n"/>
      <c r="I3" s="150" t="n"/>
      <c r="J3" s="149" t="n"/>
    </row>
    <row r="4" ht="32" customHeight="1">
      <c r="A4" s="102" t="inlineStr">
        <is>
          <t>#</t>
        </is>
      </c>
      <c r="B4" s="102" t="inlineStr">
        <is>
          <t>DISPUTE REF</t>
        </is>
      </c>
      <c r="C4" s="102" t="inlineStr">
        <is>
          <t>DISPUTE TYPE | CE 3.0 CONDITIONAL: If dispute type is Fraud - Card Not Present (Visa 10.4) on Stripe or Shopify Payments, all 7 CE 3.0 fields must be captured: IP address, Device ID / fingerprint, Customer email address, Customer activity log, 2 prior transactions from the same customer, Delivery confirmation, Order confirmation</t>
        </is>
      </c>
      <c r="D4" s="102" t="inlineStr">
        <is>
          <t>DAYS LEFT</t>
        </is>
      </c>
      <c r="E4" s="102" t="inlineStr">
        <is>
          <t>DECISION</t>
        </is>
      </c>
      <c r="F4" s="102" t="inlineStr">
        <is>
          <t>DEADLINE</t>
        </is>
      </c>
      <c r="G4" s="190" t="inlineStr">
        <is>
          <t>CHECKPOINT 1
INTAKE</t>
        </is>
      </c>
      <c r="H4" s="191" t="inlineStr">
        <is>
          <t>CHECKPOINT 2
EVIDENCE</t>
        </is>
      </c>
      <c r="I4" s="192" t="inlineStr">
        <is>
          <t>CHECKPOINT 3
SUBMIT</t>
        </is>
      </c>
      <c r="J4" s="103" t="inlineStr">
        <is>
          <t>NEXT ACTION</t>
        </is>
      </c>
    </row>
    <row r="5" ht="16" customHeight="1">
      <c r="A5" s="193" t="inlineStr">
        <is>
          <t xml:space="preserve">  OPEN DISPUTES — auto-populated from Dispute Log</t>
        </is>
      </c>
      <c r="B5" s="150" t="n"/>
      <c r="C5" s="150" t="n"/>
      <c r="D5" s="150" t="n"/>
      <c r="E5" s="150" t="n"/>
      <c r="F5" s="150" t="n"/>
      <c r="G5" s="150" t="n"/>
      <c r="H5" s="150" t="n"/>
      <c r="I5" s="150" t="n"/>
      <c r="J5" s="149" t="n"/>
    </row>
    <row r="6" ht="16" customHeight="1">
      <c r="A6" s="194" t="inlineStr">
        <is>
          <t xml:space="preserve">  Rows without a dispute reference (col A of Dispute Log) are hidden automatically via conditional formatting.</t>
        </is>
      </c>
      <c r="B6" s="150" t="n"/>
      <c r="C6" s="150" t="n"/>
      <c r="D6" s="150" t="n"/>
      <c r="E6" s="150" t="n"/>
      <c r="F6" s="150" t="n"/>
      <c r="G6" s="150" t="n"/>
      <c r="H6" s="150" t="n"/>
      <c r="I6" s="150" t="n"/>
      <c r="J6" s="149" t="n"/>
    </row>
    <row r="7" ht="22" customHeight="1">
      <c r="A7" s="195" t="n">
        <v>1</v>
      </c>
      <c r="B7" s="196">
        <f>'Dispute Log'!A6</f>
        <v/>
      </c>
      <c r="C7" s="196">
        <f>'Dispute Log'!H6</f>
        <v/>
      </c>
      <c r="D7" s="197">
        <f>'Dispute Log'!D6</f>
        <v/>
      </c>
      <c r="E7" s="197">
        <f>'Dispute Log'!K6</f>
        <v/>
      </c>
      <c r="F7" s="197">
        <f>'Dispute Log'!C6</f>
        <v/>
      </c>
      <c r="G7" s="198">
        <f>'Dispute Log'!Z6</f>
        <v/>
      </c>
      <c r="H7" s="199">
        <f>'Dispute Log'!AA6</f>
        <v/>
      </c>
      <c r="I7" s="200">
        <f>'Dispute Log'!AB6</f>
        <v/>
      </c>
      <c r="J7" s="201">
        <f>'Dispute Log'!L6</f>
        <v/>
      </c>
    </row>
    <row r="8" ht="22" customHeight="1">
      <c r="A8" s="202" t="n">
        <v>2</v>
      </c>
      <c r="B8" s="203">
        <f>'Dispute Log'!A7</f>
        <v/>
      </c>
      <c r="C8" s="203">
        <f>'Dispute Log'!H7</f>
        <v/>
      </c>
      <c r="D8" s="204">
        <f>'Dispute Log'!D7</f>
        <v/>
      </c>
      <c r="E8" s="204">
        <f>'Dispute Log'!K7</f>
        <v/>
      </c>
      <c r="F8" s="204">
        <f>'Dispute Log'!C7</f>
        <v/>
      </c>
      <c r="G8" s="205">
        <f>'Dispute Log'!Z7</f>
        <v/>
      </c>
      <c r="H8" s="206">
        <f>'Dispute Log'!AA7</f>
        <v/>
      </c>
      <c r="I8" s="207">
        <f>'Dispute Log'!AB7</f>
        <v/>
      </c>
      <c r="J8" s="85">
        <f>'Dispute Log'!L7</f>
        <v/>
      </c>
    </row>
    <row r="9" ht="22" customHeight="1">
      <c r="A9" s="195" t="n">
        <v>3</v>
      </c>
      <c r="B9" s="196">
        <f>'Dispute Log'!A8</f>
        <v/>
      </c>
      <c r="C9" s="196">
        <f>'Dispute Log'!H8</f>
        <v/>
      </c>
      <c r="D9" s="197">
        <f>'Dispute Log'!D8</f>
        <v/>
      </c>
      <c r="E9" s="197">
        <f>'Dispute Log'!K8</f>
        <v/>
      </c>
      <c r="F9" s="197">
        <f>'Dispute Log'!C8</f>
        <v/>
      </c>
      <c r="G9" s="198">
        <f>'Dispute Log'!Z8</f>
        <v/>
      </c>
      <c r="H9" s="199">
        <f>'Dispute Log'!AA8</f>
        <v/>
      </c>
      <c r="I9" s="200">
        <f>'Dispute Log'!AB8</f>
        <v/>
      </c>
      <c r="J9" s="201">
        <f>'Dispute Log'!L8</f>
        <v/>
      </c>
    </row>
    <row r="10" ht="22" customHeight="1">
      <c r="A10" s="202" t="n">
        <v>4</v>
      </c>
      <c r="B10" s="203">
        <f>'Dispute Log'!A9</f>
        <v/>
      </c>
      <c r="C10" s="203">
        <f>'Dispute Log'!H9</f>
        <v/>
      </c>
      <c r="D10" s="204">
        <f>'Dispute Log'!D9</f>
        <v/>
      </c>
      <c r="E10" s="204">
        <f>'Dispute Log'!K9</f>
        <v/>
      </c>
      <c r="F10" s="204">
        <f>'Dispute Log'!C9</f>
        <v/>
      </c>
      <c r="G10" s="205">
        <f>'Dispute Log'!Z9</f>
        <v/>
      </c>
      <c r="H10" s="206">
        <f>'Dispute Log'!AA9</f>
        <v/>
      </c>
      <c r="I10" s="207">
        <f>'Dispute Log'!AB9</f>
        <v/>
      </c>
      <c r="J10" s="85">
        <f>'Dispute Log'!L9</f>
        <v/>
      </c>
    </row>
    <row r="11" ht="22" customHeight="1">
      <c r="A11" s="195" t="n">
        <v>5</v>
      </c>
      <c r="B11" s="196">
        <f>'Dispute Log'!A10</f>
        <v/>
      </c>
      <c r="C11" s="196">
        <f>'Dispute Log'!H10</f>
        <v/>
      </c>
      <c r="D11" s="197">
        <f>'Dispute Log'!D10</f>
        <v/>
      </c>
      <c r="E11" s="197">
        <f>'Dispute Log'!K10</f>
        <v/>
      </c>
      <c r="F11" s="197">
        <f>'Dispute Log'!C10</f>
        <v/>
      </c>
      <c r="G11" s="198">
        <f>'Dispute Log'!Z10</f>
        <v/>
      </c>
      <c r="H11" s="199">
        <f>'Dispute Log'!AA10</f>
        <v/>
      </c>
      <c r="I11" s="200">
        <f>'Dispute Log'!AB10</f>
        <v/>
      </c>
      <c r="J11" s="201">
        <f>'Dispute Log'!L10</f>
        <v/>
      </c>
    </row>
    <row r="12" ht="22" customHeight="1">
      <c r="A12" s="202" t="n">
        <v>6</v>
      </c>
      <c r="B12" s="203">
        <f>'Dispute Log'!A11</f>
        <v/>
      </c>
      <c r="C12" s="203">
        <f>'Dispute Log'!H11</f>
        <v/>
      </c>
      <c r="D12" s="204">
        <f>'Dispute Log'!D11</f>
        <v/>
      </c>
      <c r="E12" s="204">
        <f>'Dispute Log'!K11</f>
        <v/>
      </c>
      <c r="F12" s="204">
        <f>'Dispute Log'!C11</f>
        <v/>
      </c>
      <c r="G12" s="205">
        <f>'Dispute Log'!Z11</f>
        <v/>
      </c>
      <c r="H12" s="206">
        <f>'Dispute Log'!AA11</f>
        <v/>
      </c>
      <c r="I12" s="207">
        <f>'Dispute Log'!AB11</f>
        <v/>
      </c>
      <c r="J12" s="85">
        <f>'Dispute Log'!L11</f>
        <v/>
      </c>
    </row>
    <row r="13" ht="22" customHeight="1">
      <c r="A13" s="195" t="n">
        <v>7</v>
      </c>
      <c r="B13" s="196">
        <f>'Dispute Log'!A12</f>
        <v/>
      </c>
      <c r="C13" s="196">
        <f>'Dispute Log'!H12</f>
        <v/>
      </c>
      <c r="D13" s="197">
        <f>'Dispute Log'!D12</f>
        <v/>
      </c>
      <c r="E13" s="197">
        <f>'Dispute Log'!K12</f>
        <v/>
      </c>
      <c r="F13" s="197">
        <f>'Dispute Log'!C12</f>
        <v/>
      </c>
      <c r="G13" s="198">
        <f>'Dispute Log'!Z12</f>
        <v/>
      </c>
      <c r="H13" s="199">
        <f>'Dispute Log'!AA12</f>
        <v/>
      </c>
      <c r="I13" s="200">
        <f>'Dispute Log'!AB12</f>
        <v/>
      </c>
      <c r="J13" s="201">
        <f>'Dispute Log'!L12</f>
        <v/>
      </c>
    </row>
    <row r="14" ht="22" customHeight="1">
      <c r="A14" s="202" t="n">
        <v>8</v>
      </c>
      <c r="B14" s="203">
        <f>'Dispute Log'!A13</f>
        <v/>
      </c>
      <c r="C14" s="203">
        <f>'Dispute Log'!H13</f>
        <v/>
      </c>
      <c r="D14" s="204">
        <f>'Dispute Log'!D13</f>
        <v/>
      </c>
      <c r="E14" s="204">
        <f>'Dispute Log'!K13</f>
        <v/>
      </c>
      <c r="F14" s="204">
        <f>'Dispute Log'!C13</f>
        <v/>
      </c>
      <c r="G14" s="205">
        <f>'Dispute Log'!Z13</f>
        <v/>
      </c>
      <c r="H14" s="206">
        <f>'Dispute Log'!AA13</f>
        <v/>
      </c>
      <c r="I14" s="207">
        <f>'Dispute Log'!AB13</f>
        <v/>
      </c>
      <c r="J14" s="85">
        <f>'Dispute Log'!L13</f>
        <v/>
      </c>
    </row>
    <row r="15" ht="22" customHeight="1">
      <c r="A15" s="195" t="n">
        <v>9</v>
      </c>
      <c r="B15" s="196">
        <f>'Dispute Log'!A14</f>
        <v/>
      </c>
      <c r="C15" s="196">
        <f>'Dispute Log'!H14</f>
        <v/>
      </c>
      <c r="D15" s="197">
        <f>'Dispute Log'!D14</f>
        <v/>
      </c>
      <c r="E15" s="197">
        <f>'Dispute Log'!K14</f>
        <v/>
      </c>
      <c r="F15" s="197">
        <f>'Dispute Log'!C14</f>
        <v/>
      </c>
      <c r="G15" s="198">
        <f>'Dispute Log'!Z14</f>
        <v/>
      </c>
      <c r="H15" s="199">
        <f>'Dispute Log'!AA14</f>
        <v/>
      </c>
      <c r="I15" s="200">
        <f>'Dispute Log'!AB14</f>
        <v/>
      </c>
      <c r="J15" s="201">
        <f>'Dispute Log'!L14</f>
        <v/>
      </c>
    </row>
    <row r="16" ht="22" customHeight="1">
      <c r="A16" s="202" t="n">
        <v>10</v>
      </c>
      <c r="B16" s="203">
        <f>'Dispute Log'!A15</f>
        <v/>
      </c>
      <c r="C16" s="203">
        <f>'Dispute Log'!H15</f>
        <v/>
      </c>
      <c r="D16" s="204">
        <f>'Dispute Log'!D15</f>
        <v/>
      </c>
      <c r="E16" s="204">
        <f>'Dispute Log'!K15</f>
        <v/>
      </c>
      <c r="F16" s="204">
        <f>'Dispute Log'!C15</f>
        <v/>
      </c>
      <c r="G16" s="205">
        <f>'Dispute Log'!Z15</f>
        <v/>
      </c>
      <c r="H16" s="206">
        <f>'Dispute Log'!AA15</f>
        <v/>
      </c>
      <c r="I16" s="207">
        <f>'Dispute Log'!AB15</f>
        <v/>
      </c>
      <c r="J16" s="85">
        <f>'Dispute Log'!L15</f>
        <v/>
      </c>
    </row>
    <row r="17" ht="22" customHeight="1">
      <c r="A17" s="195" t="n">
        <v>11</v>
      </c>
      <c r="B17" s="196">
        <f>'Dispute Log'!A16</f>
        <v/>
      </c>
      <c r="C17" s="196">
        <f>'Dispute Log'!H16</f>
        <v/>
      </c>
      <c r="D17" s="197">
        <f>'Dispute Log'!D16</f>
        <v/>
      </c>
      <c r="E17" s="197">
        <f>'Dispute Log'!K16</f>
        <v/>
      </c>
      <c r="F17" s="197">
        <f>'Dispute Log'!C16</f>
        <v/>
      </c>
      <c r="G17" s="198">
        <f>'Dispute Log'!Z16</f>
        <v/>
      </c>
      <c r="H17" s="199">
        <f>'Dispute Log'!AA16</f>
        <v/>
      </c>
      <c r="I17" s="200">
        <f>'Dispute Log'!AB16</f>
        <v/>
      </c>
      <c r="J17" s="201">
        <f>'Dispute Log'!L16</f>
        <v/>
      </c>
    </row>
    <row r="18" ht="22" customHeight="1">
      <c r="A18" s="202" t="n">
        <v>12</v>
      </c>
      <c r="B18" s="203">
        <f>'Dispute Log'!A17</f>
        <v/>
      </c>
      <c r="C18" s="203">
        <f>'Dispute Log'!H17</f>
        <v/>
      </c>
      <c r="D18" s="204">
        <f>'Dispute Log'!D17</f>
        <v/>
      </c>
      <c r="E18" s="204">
        <f>'Dispute Log'!K17</f>
        <v/>
      </c>
      <c r="F18" s="204">
        <f>'Dispute Log'!C17</f>
        <v/>
      </c>
      <c r="G18" s="205">
        <f>'Dispute Log'!Z17</f>
        <v/>
      </c>
      <c r="H18" s="206">
        <f>'Dispute Log'!AA17</f>
        <v/>
      </c>
      <c r="I18" s="207">
        <f>'Dispute Log'!AB17</f>
        <v/>
      </c>
      <c r="J18" s="85">
        <f>'Dispute Log'!L17</f>
        <v/>
      </c>
    </row>
    <row r="19" ht="22" customHeight="1">
      <c r="A19" s="195" t="n">
        <v>13</v>
      </c>
      <c r="B19" s="196">
        <f>'Dispute Log'!A18</f>
        <v/>
      </c>
      <c r="C19" s="196">
        <f>'Dispute Log'!H18</f>
        <v/>
      </c>
      <c r="D19" s="197">
        <f>'Dispute Log'!D18</f>
        <v/>
      </c>
      <c r="E19" s="197">
        <f>'Dispute Log'!K18</f>
        <v/>
      </c>
      <c r="F19" s="197">
        <f>'Dispute Log'!C18</f>
        <v/>
      </c>
      <c r="G19" s="198">
        <f>'Dispute Log'!Z18</f>
        <v/>
      </c>
      <c r="H19" s="199">
        <f>'Dispute Log'!AA18</f>
        <v/>
      </c>
      <c r="I19" s="200">
        <f>'Dispute Log'!AB18</f>
        <v/>
      </c>
      <c r="J19" s="201">
        <f>'Dispute Log'!L18</f>
        <v/>
      </c>
    </row>
    <row r="20" ht="22" customHeight="1">
      <c r="A20" s="202" t="n">
        <v>14</v>
      </c>
      <c r="B20" s="203">
        <f>'Dispute Log'!A19</f>
        <v/>
      </c>
      <c r="C20" s="203">
        <f>'Dispute Log'!H19</f>
        <v/>
      </c>
      <c r="D20" s="204">
        <f>'Dispute Log'!D19</f>
        <v/>
      </c>
      <c r="E20" s="204">
        <f>'Dispute Log'!K19</f>
        <v/>
      </c>
      <c r="F20" s="204">
        <f>'Dispute Log'!C19</f>
        <v/>
      </c>
      <c r="G20" s="205">
        <f>'Dispute Log'!Z19</f>
        <v/>
      </c>
      <c r="H20" s="206">
        <f>'Dispute Log'!AA19</f>
        <v/>
      </c>
      <c r="I20" s="207">
        <f>'Dispute Log'!AB19</f>
        <v/>
      </c>
      <c r="J20" s="85">
        <f>'Dispute Log'!L19</f>
        <v/>
      </c>
    </row>
    <row r="21" ht="22" customHeight="1">
      <c r="A21" s="195" t="n">
        <v>15</v>
      </c>
      <c r="B21" s="196">
        <f>'Dispute Log'!A20</f>
        <v/>
      </c>
      <c r="C21" s="196">
        <f>'Dispute Log'!H20</f>
        <v/>
      </c>
      <c r="D21" s="197">
        <f>'Dispute Log'!D20</f>
        <v/>
      </c>
      <c r="E21" s="197">
        <f>'Dispute Log'!K20</f>
        <v/>
      </c>
      <c r="F21" s="197">
        <f>'Dispute Log'!C20</f>
        <v/>
      </c>
      <c r="G21" s="198">
        <f>'Dispute Log'!Z20</f>
        <v/>
      </c>
      <c r="H21" s="199">
        <f>'Dispute Log'!AA20</f>
        <v/>
      </c>
      <c r="I21" s="200">
        <f>'Dispute Log'!AB20</f>
        <v/>
      </c>
      <c r="J21" s="201">
        <f>'Dispute Log'!L20</f>
        <v/>
      </c>
    </row>
    <row r="22" ht="22" customHeight="1">
      <c r="A22" s="202" t="n">
        <v>16</v>
      </c>
      <c r="B22" s="203">
        <f>'Dispute Log'!A21</f>
        <v/>
      </c>
      <c r="C22" s="203">
        <f>'Dispute Log'!H21</f>
        <v/>
      </c>
      <c r="D22" s="204">
        <f>'Dispute Log'!D21</f>
        <v/>
      </c>
      <c r="E22" s="204">
        <f>'Dispute Log'!K21</f>
        <v/>
      </c>
      <c r="F22" s="204">
        <f>'Dispute Log'!C21</f>
        <v/>
      </c>
      <c r="G22" s="205">
        <f>'Dispute Log'!Z21</f>
        <v/>
      </c>
      <c r="H22" s="206">
        <f>'Dispute Log'!AA21</f>
        <v/>
      </c>
      <c r="I22" s="207">
        <f>'Dispute Log'!AB21</f>
        <v/>
      </c>
      <c r="J22" s="85">
        <f>'Dispute Log'!L21</f>
        <v/>
      </c>
    </row>
    <row r="23" ht="22" customHeight="1">
      <c r="A23" s="195" t="n">
        <v>17</v>
      </c>
      <c r="B23" s="196">
        <f>'Dispute Log'!A22</f>
        <v/>
      </c>
      <c r="C23" s="196">
        <f>'Dispute Log'!H22</f>
        <v/>
      </c>
      <c r="D23" s="197">
        <f>'Dispute Log'!D22</f>
        <v/>
      </c>
      <c r="E23" s="197">
        <f>'Dispute Log'!K22</f>
        <v/>
      </c>
      <c r="F23" s="197">
        <f>'Dispute Log'!C22</f>
        <v/>
      </c>
      <c r="G23" s="198">
        <f>'Dispute Log'!Z22</f>
        <v/>
      </c>
      <c r="H23" s="199">
        <f>'Dispute Log'!AA22</f>
        <v/>
      </c>
      <c r="I23" s="200">
        <f>'Dispute Log'!AB22</f>
        <v/>
      </c>
      <c r="J23" s="201">
        <f>'Dispute Log'!L22</f>
        <v/>
      </c>
    </row>
    <row r="24" ht="22" customHeight="1">
      <c r="A24" s="202" t="n">
        <v>18</v>
      </c>
      <c r="B24" s="203">
        <f>'Dispute Log'!A23</f>
        <v/>
      </c>
      <c r="C24" s="203">
        <f>'Dispute Log'!H23</f>
        <v/>
      </c>
      <c r="D24" s="204">
        <f>'Dispute Log'!D23</f>
        <v/>
      </c>
      <c r="E24" s="204">
        <f>'Dispute Log'!K23</f>
        <v/>
      </c>
      <c r="F24" s="204">
        <f>'Dispute Log'!C23</f>
        <v/>
      </c>
      <c r="G24" s="205">
        <f>'Dispute Log'!Z23</f>
        <v/>
      </c>
      <c r="H24" s="206">
        <f>'Dispute Log'!AA23</f>
        <v/>
      </c>
      <c r="I24" s="207">
        <f>'Dispute Log'!AB23</f>
        <v/>
      </c>
      <c r="J24" s="85">
        <f>'Dispute Log'!L23</f>
        <v/>
      </c>
    </row>
    <row r="25" ht="22" customHeight="1">
      <c r="A25" s="195" t="n">
        <v>19</v>
      </c>
      <c r="B25" s="196">
        <f>'Dispute Log'!A24</f>
        <v/>
      </c>
      <c r="C25" s="196">
        <f>'Dispute Log'!H24</f>
        <v/>
      </c>
      <c r="D25" s="197">
        <f>'Dispute Log'!D24</f>
        <v/>
      </c>
      <c r="E25" s="197">
        <f>'Dispute Log'!K24</f>
        <v/>
      </c>
      <c r="F25" s="197">
        <f>'Dispute Log'!C24</f>
        <v/>
      </c>
      <c r="G25" s="198">
        <f>'Dispute Log'!Z24</f>
        <v/>
      </c>
      <c r="H25" s="199">
        <f>'Dispute Log'!AA24</f>
        <v/>
      </c>
      <c r="I25" s="200">
        <f>'Dispute Log'!AB24</f>
        <v/>
      </c>
      <c r="J25" s="201">
        <f>'Dispute Log'!L24</f>
        <v/>
      </c>
    </row>
    <row r="26" ht="22" customHeight="1">
      <c r="A26" s="202" t="n">
        <v>20</v>
      </c>
      <c r="B26" s="203">
        <f>'Dispute Log'!A25</f>
        <v/>
      </c>
      <c r="C26" s="203">
        <f>'Dispute Log'!H25</f>
        <v/>
      </c>
      <c r="D26" s="204">
        <f>'Dispute Log'!D25</f>
        <v/>
      </c>
      <c r="E26" s="204">
        <f>'Dispute Log'!K25</f>
        <v/>
      </c>
      <c r="F26" s="204">
        <f>'Dispute Log'!C25</f>
        <v/>
      </c>
      <c r="G26" s="205">
        <f>'Dispute Log'!Z25</f>
        <v/>
      </c>
      <c r="H26" s="206">
        <f>'Dispute Log'!AA25</f>
        <v/>
      </c>
      <c r="I26" s="207">
        <f>'Dispute Log'!AB25</f>
        <v/>
      </c>
      <c r="J26" s="85">
        <f>'Dispute Log'!L25</f>
        <v/>
      </c>
    </row>
    <row r="27" ht="22" customHeight="1">
      <c r="A27" s="195" t="n">
        <v>21</v>
      </c>
      <c r="B27" s="196">
        <f>'Dispute Log'!A26</f>
        <v/>
      </c>
      <c r="C27" s="196">
        <f>'Dispute Log'!H26</f>
        <v/>
      </c>
      <c r="D27" s="197">
        <f>'Dispute Log'!D26</f>
        <v/>
      </c>
      <c r="E27" s="197">
        <f>'Dispute Log'!K26</f>
        <v/>
      </c>
      <c r="F27" s="197">
        <f>'Dispute Log'!C26</f>
        <v/>
      </c>
      <c r="G27" s="198">
        <f>'Dispute Log'!Z26</f>
        <v/>
      </c>
      <c r="H27" s="199">
        <f>'Dispute Log'!AA26</f>
        <v/>
      </c>
      <c r="I27" s="200">
        <f>'Dispute Log'!AB26</f>
        <v/>
      </c>
      <c r="J27" s="201">
        <f>'Dispute Log'!L26</f>
        <v/>
      </c>
    </row>
    <row r="28"/>
    <row r="29" ht="16" customHeight="1">
      <c r="A29" s="208" t="inlineStr">
        <is>
          <t>CHECKPOINT CRITERIA</t>
        </is>
      </c>
      <c r="B29" s="150" t="n"/>
      <c r="C29" s="150" t="n"/>
      <c r="D29" s="150" t="n"/>
      <c r="E29" s="150" t="n"/>
      <c r="F29" s="150" t="n"/>
      <c r="G29" s="150" t="n"/>
      <c r="H29" s="150" t="n"/>
      <c r="I29" s="150" t="n"/>
      <c r="J29" s="149" t="n"/>
    </row>
    <row r="30" ht="22" customHeight="1">
      <c r="A30" s="209" t="inlineStr">
        <is>
          <t>CHECKPOINT 1 — INTAKE COMPLETE</t>
        </is>
      </c>
      <c r="B30" s="149" t="n"/>
      <c r="C30" s="210" t="inlineStr">
        <is>
          <t>Dispute Ref + Date Received + Deadline + Processor + Card Network + Reason Code + Dispute Type + Decision all filled AND AUTO columns L, M, N are populated (not blank)</t>
        </is>
      </c>
      <c r="D30" s="150" t="n"/>
      <c r="E30" s="150" t="n"/>
      <c r="F30" s="150" t="n"/>
      <c r="G30" s="150" t="n"/>
      <c r="H30" s="150" t="n"/>
      <c r="I30" s="150" t="n"/>
      <c r="J30" s="149" t="n"/>
    </row>
    <row r="31" ht="22" customHeight="1">
      <c r="A31" s="211" t="inlineStr">
        <is>
          <t>CHECKPOINT 2 — EVIDENCE MINIMUM MET</t>
        </is>
      </c>
      <c r="B31" s="149" t="n"/>
      <c r="C31" s="212" t="inlineStr">
        <is>
          <t>Checkpoint 1 clear AND all must-have evidence for the dispute type gathered (Tracker col M) AND all files named per TYPE_ORDERREF_YYYYMMDD convention AND total file count ≤10 AND Evidence Complete = Yes in col S | CE 3.0 CONDITIONAL: If dispute type is Fraud - Card Not Present (Visa 10.4) on Stripe or Shopify Payments, all 7 CE 3.0 fields must be captured: IP address, Device ID / fingerprint, Customer email address, Customer activity log, 2 prior transactions from the same customer, Delivery confirmation, Order confirmation</t>
        </is>
      </c>
      <c r="D31" s="150" t="n"/>
      <c r="E31" s="150" t="n"/>
      <c r="F31" s="150" t="n"/>
      <c r="G31" s="150" t="n"/>
      <c r="H31" s="150" t="n"/>
      <c r="I31" s="150" t="n"/>
      <c r="J31" s="149" t="n"/>
    </row>
    <row r="32" ht="22" customHeight="1">
      <c r="A32" s="213" t="inlineStr">
        <is>
          <t>CHECKPOINT 3 — SUBMISSION READY</t>
        </is>
      </c>
      <c r="B32" s="149" t="n"/>
      <c r="C32" s="214" t="inlineStr">
        <is>
          <t>Checkpoint 2 clear AND written response drafted using correct Template Library entry (Tracker col N) AND Dispute Response Cover Sheet completed (all 7 sections) AND deadline confirmed in processor portal AND submitting via correct portal</t>
        </is>
      </c>
      <c r="D32" s="150" t="n"/>
      <c r="E32" s="150" t="n"/>
      <c r="F32" s="150" t="n"/>
      <c r="G32" s="150" t="n"/>
      <c r="H32" s="150" t="n"/>
      <c r="I32" s="150" t="n"/>
      <c r="J32" s="149" t="n"/>
    </row>
  </sheetData>
  <mergeCells count="12">
    <mergeCell ref="A1:J1"/>
    <mergeCell ref="A30:B30"/>
    <mergeCell ref="A5:J5"/>
    <mergeCell ref="C30:J30"/>
    <mergeCell ref="A6:J6"/>
    <mergeCell ref="C32:J32"/>
    <mergeCell ref="A3:J3"/>
    <mergeCell ref="C31:J31"/>
    <mergeCell ref="A32:B32"/>
    <mergeCell ref="A29:J29"/>
    <mergeCell ref="A2:J2"/>
    <mergeCell ref="A31:B31"/>
  </mergeCells>
  <conditionalFormatting sqref="G7:G27">
    <cfRule type="expression" priority="1" dxfId="5">
      <formula>G7="✓ CLEAR"</formula>
    </cfRule>
    <cfRule type="expression" priority="2" dxfId="6">
      <formula>G7="✗ BLOCKED"</formula>
    </cfRule>
    <cfRule type="expression" priority="3" dxfId="5">
      <formula>LEFT(G7,2)="✓ "</formula>
    </cfRule>
    <cfRule type="expression" priority="4" dxfId="7">
      <formula>G7="READY — submit now"</formula>
    </cfRule>
  </conditionalFormatting>
  <conditionalFormatting sqref="H7:H27">
    <cfRule type="expression" priority="5" dxfId="5">
      <formula>H7="✓ CLEAR"</formula>
    </cfRule>
    <cfRule type="expression" priority="6" dxfId="6">
      <formula>H7="✗ BLOCKED"</formula>
    </cfRule>
    <cfRule type="expression" priority="7" dxfId="5">
      <formula>LEFT(H7,2)="✓ "</formula>
    </cfRule>
    <cfRule type="expression" priority="8" dxfId="7">
      <formula>H7="READY — submit now"</formula>
    </cfRule>
  </conditionalFormatting>
  <conditionalFormatting sqref="I7:I27">
    <cfRule type="expression" priority="9" dxfId="5">
      <formula>I7="✓ CLEAR"</formula>
    </cfRule>
    <cfRule type="expression" priority="10" dxfId="6">
      <formula>I7="✗ BLOCKED"</formula>
    </cfRule>
    <cfRule type="expression" priority="11" dxfId="5">
      <formula>LEFT(I7,2)="✓ "</formula>
    </cfRule>
    <cfRule type="expression" priority="12" dxfId="7">
      <formula>I7="READY — submit now"</formula>
    </cfRule>
  </conditionalFormatting>
  <conditionalFormatting sqref="D7:D27">
    <cfRule type="cellIs" priority="13" operator="lessThanOrEqual" dxfId="0">
      <formula>3</formula>
    </cfRule>
    <cfRule type="cellIs" priority="14" operator="between" dxfId="1">
      <formula>4</formula>
      <formula>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AB27"/>
  <sheetViews>
    <sheetView showGridLines="0" workbookViewId="0">
      <pane xSplit="11" ySplit="5" topLeftCell="L6" activePane="bottomRight" state="frozen"/>
      <selection pane="topRight" activeCell="A1" sqref="A1"/>
      <selection pane="bottomLeft" activeCell="A1" sqref="A1"/>
      <selection pane="bottomRight" activeCell="C14" sqref="C14"/>
    </sheetView>
  </sheetViews>
  <sheetFormatPr baseColWidth="10" defaultColWidth="8.83203125" defaultRowHeight="15"/>
  <cols>
    <col width="14" customWidth="1" min="1" max="1"/>
    <col width="11" customWidth="1" min="2" max="2"/>
    <col width="11" customWidth="1" min="3" max="3"/>
    <col width="7" customWidth="1" min="4" max="4"/>
    <col width="12" customWidth="1" min="5" max="5"/>
    <col width="9" customWidth="1" min="6" max="6"/>
    <col width="9" customWidth="1" min="7" max="7"/>
    <col width="20" customWidth="1" min="8" max="8"/>
    <col width="11" customWidth="1" min="9" max="9"/>
    <col width="8" customWidth="1" min="10" max="10"/>
    <col width="10" customWidth="1" min="11" max="12"/>
    <col width="28" customWidth="1" min="12" max="12"/>
    <col width="32" customWidth="1" min="13" max="14"/>
    <col width="20" customWidth="1" min="14" max="14"/>
    <col width="9" customWidth="1" min="15" max="16"/>
    <col width="9" customWidth="1" min="16" max="16"/>
    <col width="9" customWidth="1" min="17" max="17"/>
    <col width="9" customWidth="1" min="18" max="18"/>
    <col width="9" customWidth="1" min="19" max="19"/>
    <col width="11" customWidth="1" min="20" max="21"/>
    <col width="13" customWidth="1" min="21" max="21"/>
    <col width="10" customWidth="1" min="22" max="22"/>
    <col hidden="1" width="11" customWidth="1" min="23" max="1001"/>
    <col width="10" customWidth="1" min="24" max="24"/>
    <col width="22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187" t="inlineStr">
        <is>
          <t xml:space="preserve">  CHARGEBACK DEFENDER — DISPUTE RESPONSE TRACKER</t>
        </is>
      </c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  <c r="V1" s="150" t="n"/>
      <c r="W1" s="150" t="n"/>
      <c r="X1" s="150" t="n"/>
      <c r="Y1" s="150" t="n"/>
      <c r="Z1" s="150" t="n"/>
      <c r="AA1" s="150" t="n"/>
      <c r="AB1" s="149" t="n"/>
    </row>
    <row r="2" ht="18" customHeight="1">
      <c r="A2" s="188" t="inlineStr">
        <is>
          <t xml:space="preserve">  Log every dispute the day it arrives. AUTO columns L–N drive next actions. Checkpoint columns Z–AB show submission readiness.</t>
        </is>
      </c>
      <c r="B2" s="150" t="n"/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  <c r="X2" s="150" t="n"/>
      <c r="Y2" s="150" t="n"/>
      <c r="Z2" s="150" t="n"/>
      <c r="AA2" s="150" t="n"/>
      <c r="AB2" s="149" t="n"/>
    </row>
    <row r="3" ht="16" customHeight="1">
      <c r="A3" s="95" t="inlineStr">
        <is>
          <t>INTAKE &amp; TRIAGE</t>
        </is>
      </c>
      <c r="K3" s="95" t="inlineStr">
        <is>
          <t>DECISION</t>
        </is>
      </c>
      <c r="L3" s="96" t="inlineStr">
        <is>
          <t>AUTO: NEXT STEPS  (do not edit)</t>
        </is>
      </c>
      <c r="O3" s="95" t="inlineStr">
        <is>
          <t>EVIDENCE</t>
        </is>
      </c>
      <c r="T3" s="95" t="inlineStr">
        <is>
          <t>SUBMISSION</t>
        </is>
      </c>
      <c r="V3" s="95" t="inlineStr">
        <is>
          <t>OUTCOME</t>
        </is>
      </c>
      <c r="Y3" s="95" t="inlineStr">
        <is>
          <t>NOTES</t>
        </is>
      </c>
      <c r="Z3" s="215" t="inlineStr">
        <is>
          <t>CHECKPOINTS</t>
        </is>
      </c>
    </row>
    <row r="4" ht="13" customHeight="1">
      <c r="A4" s="97" t="n"/>
      <c r="B4" s="98" t="n"/>
      <c r="C4" s="98" t="n"/>
      <c r="D4" s="98" t="n"/>
      <c r="E4" s="98" t="n"/>
      <c r="F4" s="98" t="n"/>
      <c r="G4" s="98" t="n"/>
      <c r="H4" s="98" t="n"/>
      <c r="I4" s="97" t="n"/>
      <c r="J4" s="98" t="n"/>
      <c r="K4" s="98" t="n"/>
      <c r="L4" s="99" t="inlineStr">
        <is>
          <t>Read-only — auto-generated from your inputs</t>
        </is>
      </c>
      <c r="O4" s="98" t="n"/>
      <c r="P4" s="98" t="n"/>
      <c r="Q4" s="97" t="n"/>
      <c r="R4" s="98" t="n"/>
      <c r="S4" s="97" t="n"/>
      <c r="T4" s="98" t="n"/>
      <c r="U4" s="98" t="n"/>
      <c r="V4" s="97" t="n"/>
    </row>
    <row r="5" ht="34" customHeight="1">
      <c r="A5" s="102" t="inlineStr">
        <is>
          <t>DISPUTE
REF</t>
        </is>
      </c>
      <c r="B5" s="102" t="inlineStr">
        <is>
          <t>DATE
RECEIVED</t>
        </is>
      </c>
      <c r="C5" s="102" t="inlineStr">
        <is>
          <t>RESPONSE
DEADLINE</t>
        </is>
      </c>
      <c r="D5" s="102" t="inlineStr">
        <is>
          <t>DAYS
REMAINING</t>
        </is>
      </c>
      <c r="E5" s="102" t="inlineStr">
        <is>
          <t>PROCESSOR</t>
        </is>
      </c>
      <c r="F5" s="102" t="inlineStr">
        <is>
          <t>CARD
NETWORK</t>
        </is>
      </c>
      <c r="G5" s="102" t="inlineStr">
        <is>
          <t>REASON
CODE</t>
        </is>
      </c>
      <c r="H5" s="102" t="inlineStr">
        <is>
          <t>DISPUTE TYPE</t>
        </is>
      </c>
      <c r="I5" s="102" t="inlineStr">
        <is>
          <t>TRANSACTION
AMOUNT</t>
        </is>
      </c>
      <c r="J5" s="102" t="inlineStr">
        <is>
          <t>DISPUTE
FEE</t>
        </is>
      </c>
      <c r="K5" s="102" t="inlineStr">
        <is>
          <t>FIGHT /
ACCEPT</t>
        </is>
      </c>
      <c r="L5" s="103" t="inlineStr">
        <is>
          <t>NEXT ACTION
(auto)</t>
        </is>
      </c>
      <c r="M5" s="103" t="inlineStr">
        <is>
          <t>EVIDENCE CHECKLIST
(auto)</t>
        </is>
      </c>
      <c r="N5" s="103" t="inlineStr">
        <is>
          <t>TEMPLATE
(auto)</t>
        </is>
      </c>
      <c r="O5" s="102" t="inlineStr">
        <is>
          <t>ORDER
DETAILS</t>
        </is>
      </c>
      <c r="P5" s="102" t="inlineStr">
        <is>
          <t>DELIVERY
PROOF</t>
        </is>
      </c>
      <c r="Q5" s="102" t="inlineStr">
        <is>
          <t>IP /
DEVICE ID</t>
        </is>
      </c>
      <c r="R5" s="102" t="inlineStr">
        <is>
          <t>CUSTOMER
COMMS</t>
        </is>
      </c>
      <c r="S5" s="102" t="inlineStr">
        <is>
          <t>EVIDENCE
COMPLETE</t>
        </is>
      </c>
      <c r="T5" s="102" t="inlineStr">
        <is>
          <t>SUBMITTED
DATE</t>
        </is>
      </c>
      <c r="U5" s="102" t="inlineStr">
        <is>
          <t>SUBMISSION
REF</t>
        </is>
      </c>
      <c r="V5" s="102" t="inlineStr">
        <is>
          <t>OUTCOME</t>
        </is>
      </c>
      <c r="W5" s="102" t="inlineStr">
        <is>
          <t>OUTCOME
DATE</t>
        </is>
      </c>
      <c r="X5" s="102" t="inlineStr">
        <is>
          <t>NET
RESULT ($)</t>
        </is>
      </c>
      <c r="Y5" s="102" t="inlineStr">
        <is>
          <t>NOTES</t>
        </is>
      </c>
      <c r="Z5" s="190" t="inlineStr">
        <is>
          <t>CHECKPOINT 1
INTAKE</t>
        </is>
      </c>
      <c r="AA5" s="191" t="inlineStr">
        <is>
          <t>CHECKPOINT 2
EVIDENCE</t>
        </is>
      </c>
      <c r="AB5" s="192" t="inlineStr">
        <is>
          <t>CHECKPOINT 3
SUBMIT</t>
        </is>
      </c>
    </row>
    <row r="6" ht="58" customHeight="1">
      <c r="A6" s="83" t="n"/>
      <c r="B6" s="83" t="n"/>
      <c r="C6" s="83" t="n"/>
      <c r="D6" s="104">
        <f>IF(C6="","",C6-TODAY())</f>
        <v/>
      </c>
      <c r="E6" s="83" t="n"/>
      <c r="F6" s="83" t="n"/>
      <c r="G6" s="83" t="n"/>
      <c r="H6" s="83" t="n"/>
      <c r="I6" s="83" t="n"/>
      <c r="J6" s="83" t="n"/>
      <c r="K6" s="83" t="n"/>
      <c r="L6" s="105">
        <f>IF(B6="","→ Enter dispute details to begin",IF(K6="","→ Run Fight-or-Flight Calculator → enter decision in col K",IF(K6="Accept","✓ Accepted — log in Learning Loop if instructive",IF(V6&lt;&gt;"","✓ Resolved: "&amp;V6&amp;" — complete Learning Loop row",IF(T6&lt;&gt;"","→ Awaiting processor decision — monitor portal",IF(S6="Yes","→ Submit via "&amp;IF(E6="Stripe","Stripe Dashboard → Disputes",IF(E6="Shopify Payments","Shopify Admin → Orders → Chargebacks","PayPal Resolution Centre")),IF(AND(ISNUMBER(D6),D6&lt;=3),"⚠ URGENT: "&amp;D6&amp;" days left — submit NOW",IF(ISNUMBER(D6),"→ Gather evidence (col M) — "&amp;D6&amp;" days remaining","→ Gather evidence per checklist in col M"))))))))</f>
        <v/>
      </c>
      <c r="M6" s="106">
        <f>IF(H6="","—",IF(OR(ISNUMBER(SEARCH("Fraud",H6)),ISNUMBER(SEARCH("Card Not Present",H6))),"✦ IP address at checkout
✦ Customer email address"&amp;CHAR(10)&amp;"✦ Device ID / fingerprint"&amp;CHAR(10)&amp;"✦ Prior transactions x2"&amp;CHAR(10)&amp;"✦ Delivery confirmation"&amp;CHAR(10)&amp;"✦ Order confirmation"&amp;CHAR(10)&amp;"✦ Customer activity log",IF(OR(ISNUMBER(SEARCH("Not Received",H6)),ISNUMBER(SEARCH("INR",H6))),"✦ Carrier proof of delivery (PDF)"&amp;CHAR(10)&amp;"✦ Tracking number + carrier"&amp;CHAR(10)&amp;"✦ Shipping confirmation email"&amp;CHAR(10)&amp;"✦ Order confirmation",IF(OR(ISNUMBER(SEARCH("Not as Described",H6)),ISNUMBER(SEARCH("SNAD",H6))),"✦ Product listing screenshot"&amp;CHAR(10)&amp;"✦ Order confirmation"&amp;CHAR(10)&amp;"✦ Product photos (as shipped)"&amp;CHAR(10)&amp;"✦ Customer support thread",IF(ISNUMBER(SEARCH("Credit",H6)),"✦ Refund confirmation + timestamp"&amp;CHAR(10)&amp;"✦ Order confirmation"&amp;CHAR(10)&amp;"✦ Customer communication",IF(OR(ISNUMBER(SEARCH("Amex",H6)),ISNUMBER(SEARCH("Inquiry",H6))),"✦ Order confirmation"&amp;CHAR(10)&amp;"✦ Customer communication"&amp;CHAR(10)&amp;"✦ Delivery confirmation"&amp;CHAR(10)&amp;"✦ Product/service description",IF(ISNUMBER(SEARCH("Subscription",H6)),"✦ Subscription terms at sign-up"&amp;CHAR(10)&amp;"✦ Cancellation policy"&amp;CHAR(10)&amp;"✦ No cancellation received proof",IF(ISNUMBER(SEARCH("Digital",H6)),"✦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6" s="105">
        <f>IF(H6="","—",IF(OR(ISNUMBER(SEARCH("Fraud",H6)),ISNUMBER(SEARCH("Card Not Present",H6))),"T1 — Fraud / Card Not Present",IF(OR(ISNUMBER(SEARCH("Not Received",H6)),ISNUMBER(SEARCH("INR",H6))),"T2 — Item Not Received",IF(OR(ISNUMBER(SEARCH("Not as Described",H6)),ISNUMBER(SEARCH("SNAD",H6))),"T3 — Not as Described",IF(ISNUMBER(SEARCH("Credit",H6)),"T4 — Credit Not Processed",IF(ISNUMBER(SEARCH("Subscription",H6)),"T5 — Subscription Cancelled",IF(ISNUMBER(SEARCH("Digital",H6)),"T6 — Digital Goods Not Delivered",IF(OR(ISNUMBER(SEARCH("Amex",H6)),ISNUMBER(SEARCH("Inquiry",H6))),"T7 — Amex / Inquiry","T7 — General / Other"))))))))</f>
        <v/>
      </c>
      <c r="O6" s="83" t="n"/>
      <c r="P6" s="83" t="n"/>
      <c r="Q6" s="83" t="n"/>
      <c r="R6" s="83" t="n"/>
      <c r="S6" s="83" t="n"/>
      <c r="T6" s="83" t="n"/>
      <c r="U6" s="107" t="n"/>
      <c r="V6" s="83" t="n"/>
      <c r="W6" s="83" t="n"/>
      <c r="X6" s="156">
        <f>IF(V6="Win",I6-J6,IF(OR(V6="Accepted",V6="Withdrawn"),-J6,IF(V6="Loss",-I6-J6,"")))</f>
        <v/>
      </c>
      <c r="Y6" s="83" t="n"/>
      <c r="Z6" s="198">
        <f>IF(B6="","—",IF(AND(A6&lt;&gt;"",B6&lt;&gt;"",C6&lt;&gt;"",E6&lt;&gt;"",F6&lt;&gt;"",G6&lt;&gt;"",H6&lt;&gt;"",K6&lt;&gt;""),"✓ CLEAR","✗ BLOCKED"))</f>
        <v/>
      </c>
      <c r="AA6" s="199">
        <f>IF(B6="","—",IF(K6="Accept","N/A — Accepted",IF(AND(A6&lt;&gt;"",B6&lt;&gt;"",C6&lt;&gt;"",E6&lt;&gt;"",F6&lt;&gt;"",G6&lt;&gt;"",H6&lt;&gt;"",K6&lt;&gt;""),IF(S6="Yes","✓ CLEAR","✗ BLOCKED"),"— Checkpoint 1 first")))</f>
        <v/>
      </c>
      <c r="AB6" s="200">
        <f>IF(B6="","—",IF(K6="Accept","N/A — Accepted",IF(V6&lt;&gt;"","✓ RESOLVED: "&amp;V6,IF(T6&lt;&gt;"","✓ SUBMITTED",IF(S6="Yes","READY — submit now","✗ BLOCKED")))))</f>
        <v/>
      </c>
    </row>
    <row r="7" ht="58" customHeight="1">
      <c r="A7" s="85" t="n"/>
      <c r="B7" s="85" t="n"/>
      <c r="C7" s="85" t="n"/>
      <c r="D7" s="109">
        <f>IF(C7="","",C7-TODAY())</f>
        <v/>
      </c>
      <c r="E7" s="85" t="n"/>
      <c r="F7" s="85" t="n"/>
      <c r="G7" s="85" t="n"/>
      <c r="H7" s="85" t="n"/>
      <c r="I7" s="85" t="n"/>
      <c r="J7" s="85" t="n"/>
      <c r="K7" s="85" t="n"/>
      <c r="L7" s="105">
        <f>IF(B7="","→ Enter dispute details to begin",IF(K7="","→ Run Fight-or-Flight Calculator → enter decision in col K",IF(K7="Accept","✓ Accepted — log in Learning Loop if instructive",IF(V7&lt;&gt;"","✓ Resolved: "&amp;V7&amp;" — complete Learning Loop row",IF(T7&lt;&gt;"","→ Awaiting processor decision — monitor portal",IF(S7="Yes","→ Submit via "&amp;IF(E7="Stripe","Stripe Dashboard → Disputes",IF(E7="Shopify Payments","Shopify Admin → Orders → Chargebacks","PayPal Resolution Centre")),IF(AND(ISNUMBER(D7),D7&lt;=3),"⚠ URGENT: "&amp;D7&amp;" days left — submit NOW",IF(ISNUMBER(D7),"→ Gather evidence (col M) — "&amp;D7&amp;" days remaining","→ Gather evidence per checklist in col M"))))))))</f>
        <v/>
      </c>
      <c r="M7" s="106">
        <f>IF(H7="","—",IF(OR(ISNUMBER(SEARCH("Fraud",H7)),ISNUMBER(SEARCH("Card Not Present",H7))),"✦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Received",H7)),ISNUMBER(SEARCH("INR",H7))),"✦ Carrier proof of delivery (PDF)"&amp;CHAR(10)&amp;"✦ Tracking number + carrier"&amp;CHAR(10)&amp;"✦ Shipping confirmation email"&amp;CHAR(10)&amp;"✦ Order confirmation",IF(OR(ISNUMBER(SEARCH("Not as Described",H7)),ISNUMBER(SEARCH("SNAD",H7))),"✦ Product listing screenshot"&amp;CHAR(10)&amp;"✦ Order confirmation"&amp;CHAR(10)&amp;"✦ Product photos (as shipped)"&amp;CHAR(10)&amp;"✦ Customer support thread",IF(ISNUMBER(SEARCH("Credit",H7)),"✦ Refund confirmation + timestamp"&amp;CHAR(10)&amp;"✦ Order confirmation"&amp;CHAR(10)&amp;"✦ Customer communication",IF(ISNUMBER(SEARCH("Duplicate",H7)),"✦ Transaction records (single charge)"&amp;CHAR(10)&amp;"✦ Order confirmation"&amp;CHAR(10)&amp;"✦ Processor payment history",IF(ISNUMBER(SEARCH("Subscription",H7)),"✦ Subscription terms at sign-up"&amp;CHAR(10)&amp;"✦ Cancellation policy"&amp;CHAR(10)&amp;"✦ No cancellation received proof",IF(ISNUMBER(SEARCH("Digital",H7)),"✦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7" s="105">
        <f>IF(H7="","—",IF(OR(ISNUMBER(SEARCH("Fraud",H7)),ISNUMBER(SEARCH("Card Not Present",H7))),"T1 — Fraud / Card Not Present",IF(OR(ISNUMBER(SEARCH("Not Received",H7)),ISNUMBER(SEARCH("INR",H7))),"T2 — Item Not Received",IF(OR(ISNUMBER(SEARCH("Not as Described",H7)),ISNUMBER(SEARCH("SNAD",H7))),"T3 — Not as Described",IF(ISNUMBER(SEARCH("Credit",H7)),"T4 — Credit Not Processed",IF(ISNUMBER(SEARCH("Subscription",H7)),"T5 — Subscription Cancelled",IF(ISNUMBER(SEARCH("Digital",H7)),"T6 — Digital Goods Not Delivered",IF(OR(ISNUMBER(SEARCH("Amex",H7)),ISNUMBER(SEARCH("Inquiry",H7))),"T7 — Amex / Inquiry","T7 — General / Other"))))))))</f>
        <v/>
      </c>
      <c r="O7" s="85" t="n"/>
      <c r="P7" s="85" t="n"/>
      <c r="Q7" s="85" t="n"/>
      <c r="R7" s="85" t="n"/>
      <c r="S7" s="85" t="n"/>
      <c r="T7" s="85" t="n"/>
      <c r="U7" s="110" t="n"/>
      <c r="V7" s="85" t="n"/>
      <c r="W7" s="85" t="n"/>
      <c r="X7" s="204">
        <f>IF(V7="Win",I7-J7,IF(OR(V7="Accepted",V7="Withdrawn"),-J7,IF(V7="Loss",-I7-J7,"")))</f>
        <v/>
      </c>
      <c r="Y7" s="85" t="n"/>
      <c r="Z7" s="205">
        <f>IF(B7="","—",IF(AND(A7&lt;&gt;"",B7&lt;&gt;"",C7&lt;&gt;"",E7&lt;&gt;"",F7&lt;&gt;"",G7&lt;&gt;"",H7&lt;&gt;"",K7&lt;&gt;""),"✓ CLEAR","✗ BLOCKED"))</f>
        <v/>
      </c>
      <c r="AA7" s="206">
        <f>IF(B7="","—",IF(K7="Accept","N/A — Accepted",IF(AND(A7&lt;&gt;"",B7&lt;&gt;"",C7&lt;&gt;"",E7&lt;&gt;"",F7&lt;&gt;"",G7&lt;&gt;"",H7&lt;&gt;"",K7&lt;&gt;""),IF(S7="Yes","✓ CLEAR","✗ BLOCKED"),"— Checkpoint 1 first")))</f>
        <v/>
      </c>
      <c r="AB7" s="207">
        <f>IF(B7="","—",IF(K7="Accept","N/A — Accepted",IF(V7&lt;&gt;"","✓ RESOLVED: "&amp;V7,IF(T7&lt;&gt;"","✓ SUBMITTED",IF(S7="Yes","READY — submit now","✗ BLOCKED")))))</f>
        <v/>
      </c>
    </row>
    <row r="8" ht="58" customHeight="1">
      <c r="A8" s="83" t="n"/>
      <c r="B8" s="83" t="n"/>
      <c r="C8" s="83" t="n"/>
      <c r="D8" s="104">
        <f>IF(C8="","",C8-TODAY())</f>
        <v/>
      </c>
      <c r="E8" s="83" t="n"/>
      <c r="F8" s="83" t="n"/>
      <c r="G8" s="83" t="n"/>
      <c r="H8" s="83" t="n"/>
      <c r="I8" s="83" t="n"/>
      <c r="J8" s="83" t="n"/>
      <c r="K8" s="83" t="n"/>
      <c r="L8" s="105">
        <f>IF(B8="","→ Enter dispute details to begin",IF(K8="","→ Run Fight-or-Flight Calculator → enter decision in col K",IF(K8="Accept","✓ Accepted — log in Learning Loop if instructive",IF(V8&lt;&gt;"","✓ Resolved: "&amp;V8&amp;" — complete Learning Loop row",IF(T8&lt;&gt;"","→ Awaiting processor decision — monitor portal",IF(S8="Yes","→ Submit via "&amp;IF(E8="Stripe","Stripe Dashboard → Disputes",IF(E8="Shopify Payments","Shopify Admin → Orders → Chargebacks","PayPal Resolution Centre")),IF(AND(ISNUMBER(D8),D8&lt;=3),"⚠ URGENT: "&amp;D8&amp;" days left — submit NOW",IF(ISNUMBER(D8),"→ Gather evidence (col M) — "&amp;D8&amp;" days remaining","→ Gather evidence per checklist in col M"))))))))</f>
        <v/>
      </c>
      <c r="M8" s="106">
        <f>IF(H8="","—",IF(OR(ISNUMBER(SEARCH("Fraud",H8)),ISNUMBER(SEARCH("Card Not Present",H8))),"✦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Received",H8)),ISNUMBER(SEARCH("INR",H8))),"✦ Carrier proof of delivery (PDF)"&amp;CHAR(10)&amp;"✦ Tracking number + carrier"&amp;CHAR(10)&amp;"✦ Shipping confirmation email"&amp;CHAR(10)&amp;"✦ Order confirmation",IF(OR(ISNUMBER(SEARCH("Not as Described",H8)),ISNUMBER(SEARCH("SNAD",H8))),"✦ Product listing screenshot"&amp;CHAR(10)&amp;"✦ Order confirmation"&amp;CHAR(10)&amp;"✦ Product photos (as shipped)"&amp;CHAR(10)&amp;"✦ Customer support thread",IF(ISNUMBER(SEARCH("Credit",H8)),"✦ Refund confirmation + timestamp"&amp;CHAR(10)&amp;"✦ Order confirmation"&amp;CHAR(10)&amp;"✦ Customer communication",IF(ISNUMBER(SEARCH("Duplicate",H8)),"✦ Transaction records (single charge)"&amp;CHAR(10)&amp;"✦ Order confirmation"&amp;CHAR(10)&amp;"✦ Processor payment history",IF(ISNUMBER(SEARCH("Subscription",H8)),"✦ Subscription terms at sign-up"&amp;CHAR(10)&amp;"✦ Cancellation policy"&amp;CHAR(10)&amp;"✦ No cancellation received proof",IF(ISNUMBER(SEARCH("Digital",H8)),"✦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8" s="105">
        <f>IF(H8="","—",IF(OR(ISNUMBER(SEARCH("Fraud",H8)),ISNUMBER(SEARCH("Card Not Present",H8))),"T1 — Fraud / Card Not Present",IF(OR(ISNUMBER(SEARCH("Not Received",H8)),ISNUMBER(SEARCH("INR",H8))),"T2 — Item Not Received",IF(OR(ISNUMBER(SEARCH("Not as Described",H8)),ISNUMBER(SEARCH("SNAD",H8))),"T3 — Not as Described",IF(ISNUMBER(SEARCH("Credit",H8)),"T4 — Credit Not Processed",IF(ISNUMBER(SEARCH("Subscription",H8)),"T5 — Subscription Cancelled",IF(ISNUMBER(SEARCH("Digital",H8)),"T6 — Digital Goods Not Delivered",IF(OR(ISNUMBER(SEARCH("Amex",H8)),ISNUMBER(SEARCH("Inquiry",H8))),"T7 — Amex / Inquiry","T7 — General / Other"))))))))</f>
        <v/>
      </c>
      <c r="O8" s="83" t="n"/>
      <c r="P8" s="83" t="n"/>
      <c r="Q8" s="83" t="n"/>
      <c r="R8" s="83" t="n"/>
      <c r="S8" s="83" t="n"/>
      <c r="T8" s="83" t="n"/>
      <c r="U8" s="107" t="n"/>
      <c r="V8" s="83" t="n"/>
      <c r="W8" s="83" t="n"/>
      <c r="X8" s="156">
        <f>IF(V8="Win",I8-J8,IF(OR(V8="Accepted",V8="Withdrawn"),-J8,IF(V8="Loss",-I8-J8,"")))</f>
        <v/>
      </c>
      <c r="Y8" s="83" t="n"/>
      <c r="Z8" s="198">
        <f>IF(B8="","—",IF(AND(A8&lt;&gt;"",B8&lt;&gt;"",C8&lt;&gt;"",E8&lt;&gt;"",F8&lt;&gt;"",G8&lt;&gt;"",H8&lt;&gt;"",K8&lt;&gt;""),"✓ CLEAR","✗ BLOCKED"))</f>
        <v/>
      </c>
      <c r="AA8" s="199">
        <f>IF(B8="","—",IF(K8="Accept","N/A — Accepted",IF(AND(A8&lt;&gt;"",B8&lt;&gt;"",C8&lt;&gt;"",E8&lt;&gt;"",F8&lt;&gt;"",G8&lt;&gt;"",H8&lt;&gt;"",K8&lt;&gt;""),IF(S8="Yes","✓ CLEAR","✗ BLOCKED"),"— Checkpoint 1 first")))</f>
        <v/>
      </c>
      <c r="AB8" s="200">
        <f>IF(B8="","—",IF(K8="Accept","N/A — Accepted",IF(V8&lt;&gt;"","✓ RESOLVED: "&amp;V8,IF(T8&lt;&gt;"","✓ SUBMITTED",IF(S8="Yes","READY — submit now","✗ BLOCKED")))))</f>
        <v/>
      </c>
    </row>
    <row r="9" ht="58" customHeight="1">
      <c r="A9" s="85" t="n"/>
      <c r="B9" s="85" t="n"/>
      <c r="C9" s="85" t="n"/>
      <c r="D9" s="109">
        <f>IF(C9="","",C9-TODAY())</f>
        <v/>
      </c>
      <c r="E9" s="85" t="n"/>
      <c r="F9" s="85" t="n"/>
      <c r="G9" s="85" t="n"/>
      <c r="H9" s="85" t="n"/>
      <c r="I9" s="85" t="n"/>
      <c r="J9" s="85" t="n"/>
      <c r="K9" s="85" t="n"/>
      <c r="L9" s="105">
        <f>IF(B9="","→ Enter dispute details to begin",IF(K9="","→ Run Fight-or-Flight Calculator → enter decision in col K",IF(K9="Accept","✓ Accepted — log in Learning Loop if instructive",IF(V9&lt;&gt;"","✓ Resolved: "&amp;V9&amp;" — complete Learning Loop row",IF(T9&lt;&gt;"","→ Awaiting processor decision — monitor portal",IF(S9="Yes","→ Submit via "&amp;IF(E9="Stripe","Stripe Dashboard → Disputes",IF(E9="Shopify Payments","Shopify Admin → Orders → Chargebacks","PayPal Resolution Centre")),IF(AND(ISNUMBER(D9),D9&lt;=3),"⚠ URGENT: "&amp;D9&amp;" days left — submit NOW",IF(ISNUMBER(D9),"→ Gather evidence (col M) — "&amp;D9&amp;" days remaining","→ Gather evidence per checklist in col M"))))))))</f>
        <v/>
      </c>
      <c r="M9" s="106">
        <f>IF(H9="","—",IF(OR(ISNUMBER(SEARCH("Fraud",H9)),ISNUMBER(SEARCH("Card Not Present",H9))),"✦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Received",H9)),ISNUMBER(SEARCH("INR",H9))),"✦ Carrier proof of delivery (PDF)"&amp;CHAR(10)&amp;"✦ Tracking number + carrier"&amp;CHAR(10)&amp;"✦ Shipping confirmation email"&amp;CHAR(10)&amp;"✦ Order confirmation",IF(OR(ISNUMBER(SEARCH("Not as Described",H9)),ISNUMBER(SEARCH("SNAD",H9))),"✦ Product listing screenshot"&amp;CHAR(10)&amp;"✦ Order confirmation"&amp;CHAR(10)&amp;"✦ Product photos (as shipped)"&amp;CHAR(10)&amp;"✦ Customer support thread",IF(ISNUMBER(SEARCH("Credit",H9)),"✦ Refund confirmation + timestamp"&amp;CHAR(10)&amp;"✦ Order confirmation"&amp;CHAR(10)&amp;"✦ Customer communication",IF(ISNUMBER(SEARCH("Duplicate",H9)),"✦ Transaction records (single charge)"&amp;CHAR(10)&amp;"✦ Order confirmation"&amp;CHAR(10)&amp;"✦ Processor payment history",IF(ISNUMBER(SEARCH("Subscription",H9)),"✦ Subscription terms at sign-up"&amp;CHAR(10)&amp;"✦ Cancellation policy"&amp;CHAR(10)&amp;"✦ No cancellation received proof",IF(ISNUMBER(SEARCH("Digital",H9)),"✦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9" s="105">
        <f>IF(H9="","—",IF(OR(ISNUMBER(SEARCH("Fraud",H9)),ISNUMBER(SEARCH("Card Not Present",H9))),"T1 — Fraud / Card Not Present",IF(OR(ISNUMBER(SEARCH("Not Received",H9)),ISNUMBER(SEARCH("INR",H9))),"T2 — Item Not Received",IF(OR(ISNUMBER(SEARCH("Not as Described",H9)),ISNUMBER(SEARCH("SNAD",H9))),"T3 — Not as Described",IF(ISNUMBER(SEARCH("Credit",H9)),"T4 — Credit Not Processed",IF(ISNUMBER(SEARCH("Subscription",H9)),"T5 — Subscription Cancelled",IF(ISNUMBER(SEARCH("Digital",H9)),"T6 — Digital Goods Not Delivered",IF(OR(ISNUMBER(SEARCH("Amex",H9)),ISNUMBER(SEARCH("Inquiry",H9))),"T7 — Amex / Inquiry","T7 — General / Other"))))))))</f>
        <v/>
      </c>
      <c r="O9" s="85" t="n"/>
      <c r="P9" s="85" t="n"/>
      <c r="Q9" s="85" t="n"/>
      <c r="R9" s="85" t="n"/>
      <c r="S9" s="85" t="n"/>
      <c r="T9" s="85" t="n"/>
      <c r="U9" s="110" t="n"/>
      <c r="V9" s="85" t="n"/>
      <c r="W9" s="85" t="n"/>
      <c r="X9" s="204">
        <f>IF(V9="Win",I9-J9,IF(OR(V9="Accepted",V9="Withdrawn"),-J9,IF(V9="Loss",-I9-J9,"")))</f>
        <v/>
      </c>
      <c r="Y9" s="85" t="n"/>
      <c r="Z9" s="205">
        <f>IF(B9="","—",IF(AND(A9&lt;&gt;"",B9&lt;&gt;"",C9&lt;&gt;"",E9&lt;&gt;"",F9&lt;&gt;"",G9&lt;&gt;"",H9&lt;&gt;"",K9&lt;&gt;""),"✓ CLEAR","✗ BLOCKED"))</f>
        <v/>
      </c>
      <c r="AA9" s="206">
        <f>IF(B9="","—",IF(K9="Accept","N/A — Accepted",IF(AND(A9&lt;&gt;"",B9&lt;&gt;"",C9&lt;&gt;"",E9&lt;&gt;"",F9&lt;&gt;"",G9&lt;&gt;"",H9&lt;&gt;"",K9&lt;&gt;""),IF(S9="Yes","✓ CLEAR","✗ BLOCKED"),"— Checkpoint 1 first")))</f>
        <v/>
      </c>
      <c r="AB9" s="207">
        <f>IF(B9="","—",IF(K9="Accept","N/A — Accepted",IF(V9&lt;&gt;"","✓ RESOLVED: "&amp;V9,IF(T9&lt;&gt;"","✓ SUBMITTED",IF(S9="Yes","READY — submit now","✗ BLOCKED")))))</f>
        <v/>
      </c>
    </row>
    <row r="10" ht="58" customHeight="1">
      <c r="A10" s="83" t="n"/>
      <c r="B10" s="83" t="n"/>
      <c r="C10" s="83" t="n"/>
      <c r="D10" s="104">
        <f>IF(C10="","",C10-TODAY())</f>
        <v/>
      </c>
      <c r="E10" s="83" t="n"/>
      <c r="F10" s="83" t="n"/>
      <c r="G10" s="83" t="n"/>
      <c r="H10" s="83" t="n"/>
      <c r="I10" s="83" t="n"/>
      <c r="J10" s="83" t="n"/>
      <c r="K10" s="83" t="n"/>
      <c r="L10" s="105">
        <f>IF(B10="","→ Enter dispute details to begin",IF(K10="","→ Run Fight-or-Flight Calculator → enter decision in col K",IF(K10="Accept","✓ Accepted — log in Learning Loop if instructive",IF(V10&lt;&gt;"","✓ Resolved: "&amp;V10&amp;" — complete Learning Loop row",IF(T10&lt;&gt;"","→ Awaiting processor decision — monitor portal",IF(S10="Yes","→ Submit via "&amp;IF(E10="Stripe","Stripe Dashboard → Disputes",IF(E10="Shopify Payments","Shopify Admin → Orders → Chargebacks","PayPal Resolution Centre")),IF(AND(ISNUMBER(D10),D10&lt;=3),"⚠ URGENT: "&amp;D10&amp;" days left — submit NOW",IF(ISNUMBER(D10),"→ Gather evidence (col M) — "&amp;D10&amp;" days remaining","→ Gather evidence per checklist in col M"))))))))</f>
        <v/>
      </c>
      <c r="M10" s="106">
        <f>IF(H10="","—",IF(OR(ISNUMBER(SEARCH("Fraud",H10)),ISNUMBER(SEARCH("Card Not Present",H10))),"✦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Received",H10)),ISNUMBER(SEARCH("INR",H10))),"✦ Carrier proof of delivery (PDF)"&amp;CHAR(10)&amp;"✦ Tracking number + carrier"&amp;CHAR(10)&amp;"✦ Shipping confirmation email"&amp;CHAR(10)&amp;"✦ Order confirmation",IF(OR(ISNUMBER(SEARCH("Not as Described",H10)),ISNUMBER(SEARCH("SNAD",H10))),"✦ Product listing screenshot"&amp;CHAR(10)&amp;"✦ Order confirmation"&amp;CHAR(10)&amp;"✦ Product photos (as shipped)"&amp;CHAR(10)&amp;"✦ Customer support thread",IF(ISNUMBER(SEARCH("Credit",H10)),"✦ Refund confirmation + timestamp"&amp;CHAR(10)&amp;"✦ Order confirmation"&amp;CHAR(10)&amp;"✦ Customer communication",IF(ISNUMBER(SEARCH("Duplicate",H10)),"✦ Transaction records (single charge)"&amp;CHAR(10)&amp;"✦ Order confirmation"&amp;CHAR(10)&amp;"✦ Processor payment history",IF(ISNUMBER(SEARCH("Subscription",H10)),"✦ Subscription terms at sign-up"&amp;CHAR(10)&amp;"✦ Cancellation policy"&amp;CHAR(10)&amp;"✦ No cancellation received proof",IF(ISNUMBER(SEARCH("Digital",H10)),"✦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0" s="105">
        <f>IF(H10="","—",IF(OR(ISNUMBER(SEARCH("Fraud",H10)),ISNUMBER(SEARCH("Card Not Present",H10))),"T1 — Fraud / Card Not Present",IF(OR(ISNUMBER(SEARCH("Not Received",H10)),ISNUMBER(SEARCH("INR",H10))),"T2 — Item Not Received",IF(OR(ISNUMBER(SEARCH("Not as Described",H10)),ISNUMBER(SEARCH("SNAD",H10))),"T3 — Not as Described",IF(ISNUMBER(SEARCH("Credit",H10)),"T4 — Credit Not Processed",IF(ISNUMBER(SEARCH("Subscription",H10)),"T5 — Subscription Cancelled",IF(ISNUMBER(SEARCH("Digital",H10)),"T6 — Digital Goods Not Delivered",IF(OR(ISNUMBER(SEARCH("Amex",H10)),ISNUMBER(SEARCH("Inquiry",H10))),"T7 — Amex / Inquiry","T7 — General / Other"))))))))</f>
        <v/>
      </c>
      <c r="O10" s="83" t="n"/>
      <c r="P10" s="83" t="n"/>
      <c r="Q10" s="83" t="n"/>
      <c r="R10" s="83" t="n"/>
      <c r="S10" s="83" t="n"/>
      <c r="T10" s="83" t="n"/>
      <c r="U10" s="107" t="n"/>
      <c r="V10" s="83" t="n"/>
      <c r="W10" s="83" t="n"/>
      <c r="X10" s="156">
        <f>IF(V10="Win",I10-J10,IF(OR(V10="Accepted",V10="Withdrawn"),-J10,IF(V10="Loss",-I10-J10,"")))</f>
        <v/>
      </c>
      <c r="Y10" s="83" t="n"/>
      <c r="Z10" s="198">
        <f>IF(B10="","—",IF(AND(A10&lt;&gt;"",B10&lt;&gt;"",C10&lt;&gt;"",E10&lt;&gt;"",F10&lt;&gt;"",G10&lt;&gt;"",H10&lt;&gt;"",K10&lt;&gt;""),"✓ CLEAR","✗ BLOCKED"))</f>
        <v/>
      </c>
      <c r="AA10" s="199">
        <f>IF(B10="","—",IF(K10="Accept","N/A — Accepted",IF(AND(A10&lt;&gt;"",B10&lt;&gt;"",C10&lt;&gt;"",E10&lt;&gt;"",F10&lt;&gt;"",G10&lt;&gt;"",H10&lt;&gt;"",K10&lt;&gt;""),IF(S10="Yes","✓ CLEAR","✗ BLOCKED"),"— Checkpoint 1 first")))</f>
        <v/>
      </c>
      <c r="AB10" s="200">
        <f>IF(B10="","—",IF(K10="Accept","N/A — Accepted",IF(V10&lt;&gt;"","✓ RESOLVED: "&amp;V10,IF(T10&lt;&gt;"","✓ SUBMITTED",IF(S10="Yes","READY — submit now","✗ BLOCKED")))))</f>
        <v/>
      </c>
    </row>
    <row r="11" ht="58" customHeight="1">
      <c r="A11" s="85" t="n"/>
      <c r="B11" s="85" t="n"/>
      <c r="C11" s="85" t="n"/>
      <c r="D11" s="109">
        <f>IF(C11="","",C11-TODAY())</f>
        <v/>
      </c>
      <c r="E11" s="85" t="n"/>
      <c r="F11" s="85" t="n"/>
      <c r="G11" s="85" t="n"/>
      <c r="H11" s="85" t="n"/>
      <c r="I11" s="85" t="n"/>
      <c r="J11" s="85" t="n"/>
      <c r="K11" s="85" t="n"/>
      <c r="L11" s="105">
        <f>IF(B11="","→ Enter dispute details to begin",IF(K11="","→ Run Fight-or-Flight Calculator → enter decision in col K",IF(K11="Accept","✓ Accepted — log in Learning Loop if instructive",IF(V11&lt;&gt;"","✓ Resolved: "&amp;V11&amp;" — complete Learning Loop row",IF(T11&lt;&gt;"","→ Awaiting processor decision — monitor portal",IF(S11="Yes","→ Submit via "&amp;IF(E11="Stripe","Stripe Dashboard → Disputes",IF(E11="Shopify Payments","Shopify Admin → Orders → Chargebacks","PayPal Resolution Centre")),IF(AND(ISNUMBER(D11),D11&lt;=3),"⚠ URGENT: "&amp;D11&amp;" days left — submit NOW",IF(ISNUMBER(D11),"→ Gather evidence (col M) — "&amp;D11&amp;" days remaining","→ Gather evidence per checklist in col M"))))))))</f>
        <v/>
      </c>
      <c r="M11" s="106">
        <f>IF(H11="","—",IF(OR(ISNUMBER(SEARCH("Fraud",H11)),ISNUMBER(SEARCH("Card Not Present",H11))),"✦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Received",H11)),ISNUMBER(SEARCH("INR",H11))),"✦ Carrier proof of delivery (PDF)"&amp;CHAR(10)&amp;"✦ Tracking number + carrier"&amp;CHAR(10)&amp;"✦ Shipping confirmation email"&amp;CHAR(10)&amp;"✦ Order confirmation",IF(OR(ISNUMBER(SEARCH("Not as Described",H11)),ISNUMBER(SEARCH("SNAD",H11))),"✦ Product listing screenshot"&amp;CHAR(10)&amp;"✦ Order confirmation"&amp;CHAR(10)&amp;"✦ Product photos (as shipped)"&amp;CHAR(10)&amp;"✦ Customer support thread",IF(ISNUMBER(SEARCH("Credit",H11)),"✦ Refund confirmation + timestamp"&amp;CHAR(10)&amp;"✦ Order confirmation"&amp;CHAR(10)&amp;"✦ Customer communication",IF(ISNUMBER(SEARCH("Duplicate",H11)),"✦ Transaction records (single charge)"&amp;CHAR(10)&amp;"✦ Order confirmation"&amp;CHAR(10)&amp;"✦ Processor payment history",IF(ISNUMBER(SEARCH("Subscription",H11)),"✦ Subscription terms at sign-up"&amp;CHAR(10)&amp;"✦ Cancellation policy"&amp;CHAR(10)&amp;"✦ No cancellation received proof",IF(ISNUMBER(SEARCH("Digital",H11)),"✦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1" s="105">
        <f>IF(H11="","—",IF(OR(ISNUMBER(SEARCH("Fraud",H11)),ISNUMBER(SEARCH("Card Not Present",H11))),"T1 — Fraud / Card Not Present",IF(OR(ISNUMBER(SEARCH("Not Received",H11)),ISNUMBER(SEARCH("INR",H11))),"T2 — Item Not Received",IF(OR(ISNUMBER(SEARCH("Not as Described",H11)),ISNUMBER(SEARCH("SNAD",H11))),"T3 — Not as Described",IF(ISNUMBER(SEARCH("Credit",H11)),"T4 — Credit Not Processed",IF(ISNUMBER(SEARCH("Subscription",H11)),"T5 — Subscription Cancelled",IF(ISNUMBER(SEARCH("Digital",H11)),"T6 — Digital Goods Not Delivered",IF(OR(ISNUMBER(SEARCH("Amex",H11)),ISNUMBER(SEARCH("Inquiry",H11))),"T7 — Amex / Inquiry","T7 — General / Other"))))))))</f>
        <v/>
      </c>
      <c r="O11" s="85" t="n"/>
      <c r="P11" s="85" t="n"/>
      <c r="Q11" s="85" t="n"/>
      <c r="R11" s="85" t="n"/>
      <c r="S11" s="85" t="n"/>
      <c r="T11" s="85" t="n"/>
      <c r="U11" s="110" t="n"/>
      <c r="V11" s="85" t="n"/>
      <c r="W11" s="85" t="n"/>
      <c r="X11" s="204">
        <f>IF(V11="Win",I11-J11,IF(OR(V11="Accepted",V11="Withdrawn"),-J11,IF(V11="Loss",-I11-J11,"")))</f>
        <v/>
      </c>
      <c r="Y11" s="85" t="n"/>
      <c r="Z11" s="205">
        <f>IF(B11="","—",IF(AND(A11&lt;&gt;"",B11&lt;&gt;"",C11&lt;&gt;"",E11&lt;&gt;"",F11&lt;&gt;"",G11&lt;&gt;"",H11&lt;&gt;"",K11&lt;&gt;""),"✓ CLEAR","✗ BLOCKED"))</f>
        <v/>
      </c>
      <c r="AA11" s="206">
        <f>IF(B11="","—",IF(K11="Accept","N/A — Accepted",IF(AND(A11&lt;&gt;"",B11&lt;&gt;"",C11&lt;&gt;"",E11&lt;&gt;"",F11&lt;&gt;"",G11&lt;&gt;"",H11&lt;&gt;"",K11&lt;&gt;""),IF(S11="Yes","✓ CLEAR","✗ BLOCKED"),"— Checkpoint 1 first")))</f>
        <v/>
      </c>
      <c r="AB11" s="207">
        <f>IF(B11="","—",IF(K11="Accept","N/A — Accepted",IF(V11&lt;&gt;"","✓ RESOLVED: "&amp;V11,IF(T11&lt;&gt;"","✓ SUBMITTED",IF(S11="Yes","READY — submit now","✗ BLOCKED")))))</f>
        <v/>
      </c>
    </row>
    <row r="12" ht="58" customHeight="1">
      <c r="A12" s="83" t="n"/>
      <c r="B12" s="83" t="n"/>
      <c r="C12" s="83" t="n"/>
      <c r="D12" s="104">
        <f>IF(C12="","",C12-TODAY())</f>
        <v/>
      </c>
      <c r="E12" s="83" t="n"/>
      <c r="F12" s="83" t="n"/>
      <c r="G12" s="83" t="n"/>
      <c r="H12" s="83" t="n"/>
      <c r="I12" s="83" t="n"/>
      <c r="J12" s="83" t="n"/>
      <c r="K12" s="83" t="n"/>
      <c r="L12" s="105">
        <f>IF(B12="","→ Enter dispute details to begin",IF(K12="","→ Run Fight-or-Flight Calculator → enter decision in col K",IF(K12="Accept","✓ Accepted — log in Learning Loop if instructive",IF(V12&lt;&gt;"","✓ Resolved: "&amp;V12&amp;" — complete Learning Loop row",IF(T12&lt;&gt;"","→ Awaiting processor decision — monitor portal",IF(S12="Yes","→ Submit via "&amp;IF(E12="Stripe","Stripe Dashboard → Disputes",IF(E12="Shopify Payments","Shopify Admin → Orders → Chargebacks","PayPal Resolution Centre")),IF(AND(ISNUMBER(D12),D12&lt;=3),"⚠ URGENT: "&amp;D12&amp;" days left — submit NOW",IF(ISNUMBER(D12),"→ Gather evidence (col M) — "&amp;D12&amp;" days remaining","→ Gather evidence per checklist in col M"))))))))</f>
        <v/>
      </c>
      <c r="M12" s="106">
        <f>IF(H12="","—",IF(OR(ISNUMBER(SEARCH("Fraud",H12)),ISNUMBER(SEARCH("Card Not Present",H12))),"✦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Received",H12)),ISNUMBER(SEARCH("INR",H12))),"✦ Carrier proof of delivery (PDF)"&amp;CHAR(10)&amp;"✦ Tracking number + carrier"&amp;CHAR(10)&amp;"✦ Shipping confirmation email"&amp;CHAR(10)&amp;"✦ Order confirmation",IF(OR(ISNUMBER(SEARCH("Not as Described",H12)),ISNUMBER(SEARCH("SNAD",H12))),"✦ Product listing screenshot"&amp;CHAR(10)&amp;"✦ Order confirmation"&amp;CHAR(10)&amp;"✦ Product photos (as shipped)"&amp;CHAR(10)&amp;"✦ Customer support thread",IF(ISNUMBER(SEARCH("Credit",H12)),"✦ Refund confirmation + timestamp"&amp;CHAR(10)&amp;"✦ Order confirmation"&amp;CHAR(10)&amp;"✦ Customer communication",IF(ISNUMBER(SEARCH("Duplicate",H12)),"✦ Transaction records (single charge)"&amp;CHAR(10)&amp;"✦ Order confirmation"&amp;CHAR(10)&amp;"✦ Processor payment history",IF(ISNUMBER(SEARCH("Subscription",H12)),"✦ Subscription terms at sign-up"&amp;CHAR(10)&amp;"✦ Cancellation policy"&amp;CHAR(10)&amp;"✦ No cancellation received proof",IF(ISNUMBER(SEARCH("Digital",H12)),"✦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2" s="105">
        <f>IF(H12="","—",IF(OR(ISNUMBER(SEARCH("Fraud",H12)),ISNUMBER(SEARCH("Card Not Present",H12))),"T1 — Fraud / Card Not Present",IF(OR(ISNUMBER(SEARCH("Not Received",H12)),ISNUMBER(SEARCH("INR",H12))),"T2 — Item Not Received",IF(OR(ISNUMBER(SEARCH("Not as Described",H12)),ISNUMBER(SEARCH("SNAD",H12))),"T3 — Not as Described",IF(ISNUMBER(SEARCH("Credit",H12)),"T4 — Credit Not Processed",IF(ISNUMBER(SEARCH("Subscription",H12)),"T5 — Subscription Cancelled",IF(ISNUMBER(SEARCH("Digital",H12)),"T6 — Digital Goods Not Delivered",IF(OR(ISNUMBER(SEARCH("Amex",H12)),ISNUMBER(SEARCH("Inquiry",H12))),"T7 — Amex / Inquiry","T7 — General / Other"))))))))</f>
        <v/>
      </c>
      <c r="O12" s="83" t="n"/>
      <c r="P12" s="83" t="n"/>
      <c r="Q12" s="83" t="n"/>
      <c r="R12" s="83" t="n"/>
      <c r="S12" s="83" t="n"/>
      <c r="T12" s="83" t="n"/>
      <c r="U12" s="107" t="n"/>
      <c r="V12" s="83" t="n"/>
      <c r="W12" s="83" t="n"/>
      <c r="X12" s="156">
        <f>IF(V12="Win",I12-J12,IF(OR(V12="Accepted",V12="Withdrawn"),-J12,IF(V12="Loss",-I12-J12,"")))</f>
        <v/>
      </c>
      <c r="Y12" s="83" t="n"/>
      <c r="Z12" s="198">
        <f>IF(B12="","—",IF(AND(A12&lt;&gt;"",B12&lt;&gt;"",C12&lt;&gt;"",E12&lt;&gt;"",F12&lt;&gt;"",G12&lt;&gt;"",H12&lt;&gt;"",K12&lt;&gt;""),"✓ CLEAR","✗ BLOCKED"))</f>
        <v/>
      </c>
      <c r="AA12" s="199">
        <f>IF(B12="","—",IF(K12="Accept","N/A — Accepted",IF(AND(A12&lt;&gt;"",B12&lt;&gt;"",C12&lt;&gt;"",E12&lt;&gt;"",F12&lt;&gt;"",G12&lt;&gt;"",H12&lt;&gt;"",K12&lt;&gt;""),IF(S12="Yes","✓ CLEAR","✗ BLOCKED"),"— Checkpoint 1 first")))</f>
        <v/>
      </c>
      <c r="AB12" s="200">
        <f>IF(B12="","—",IF(K12="Accept","N/A — Accepted",IF(V12&lt;&gt;"","✓ RESOLVED: "&amp;V12,IF(T12&lt;&gt;"","✓ SUBMITTED",IF(S12="Yes","READY — submit now","✗ BLOCKED")))))</f>
        <v/>
      </c>
    </row>
    <row r="13" ht="58" customHeight="1">
      <c r="A13" s="85" t="n"/>
      <c r="B13" s="85" t="n"/>
      <c r="C13" s="85" t="n"/>
      <c r="D13" s="109">
        <f>IF(C13="","",C13-TODAY())</f>
        <v/>
      </c>
      <c r="E13" s="85" t="n"/>
      <c r="F13" s="85" t="n"/>
      <c r="G13" s="85" t="n"/>
      <c r="H13" s="85" t="n"/>
      <c r="I13" s="85" t="n"/>
      <c r="J13" s="85" t="n"/>
      <c r="K13" s="85" t="n"/>
      <c r="L13" s="105">
        <f>IF(B13="","→ Enter dispute details to begin",IF(K13="","→ Run Fight-or-Flight Calculator → enter decision in col K",IF(K13="Accept","✓ Accepted — log in Learning Loop if instructive",IF(V13&lt;&gt;"","✓ Resolved: "&amp;V13&amp;" — complete Learning Loop row",IF(T13&lt;&gt;"","→ Awaiting processor decision — monitor portal",IF(S13="Yes","→ Submit via "&amp;IF(E13="Stripe","Stripe Dashboard → Disputes",IF(E13="Shopify Payments","Shopify Admin → Orders → Chargebacks","PayPal Resolution Centre")),IF(AND(ISNUMBER(D13),D13&lt;=3),"⚠ URGENT: "&amp;D13&amp;" days left — submit NOW",IF(ISNUMBER(D13),"→ Gather evidence (col M) — "&amp;D13&amp;" days remaining","→ Gather evidence per checklist in col M"))))))))</f>
        <v/>
      </c>
      <c r="M13" s="106">
        <f>IF(H13="","—",IF(OR(ISNUMBER(SEARCH("Fraud",H13)),ISNUMBER(SEARCH("Card Not Present",H13))),"✦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Received",H13)),ISNUMBER(SEARCH("INR",H13))),"✦ Carrier proof of delivery (PDF)"&amp;CHAR(10)&amp;"✦ Tracking number + carrier"&amp;CHAR(10)&amp;"✦ Shipping confirmation email"&amp;CHAR(10)&amp;"✦ Order confirmation",IF(OR(ISNUMBER(SEARCH("Not as Described",H13)),ISNUMBER(SEARCH("SNAD",H13))),"✦ Product listing screenshot"&amp;CHAR(10)&amp;"✦ Order confirmation"&amp;CHAR(10)&amp;"✦ Product photos (as shipped)"&amp;CHAR(10)&amp;"✦ Customer support thread",IF(ISNUMBER(SEARCH("Credit",H13)),"✦ Refund confirmation + timestamp"&amp;CHAR(10)&amp;"✦ Order confirmation"&amp;CHAR(10)&amp;"✦ Customer communication",IF(ISNUMBER(SEARCH("Duplicate",H13)),"✦ Transaction records (single charge)"&amp;CHAR(10)&amp;"✦ Order confirmation"&amp;CHAR(10)&amp;"✦ Processor payment history",IF(ISNUMBER(SEARCH("Subscription",H13)),"✦ Subscription terms at sign-up"&amp;CHAR(10)&amp;"✦ Cancellation policy"&amp;CHAR(10)&amp;"✦ No cancellation received proof",IF(ISNUMBER(SEARCH("Digital",H13)),"✦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3" s="105">
        <f>IF(H13="","—",IF(OR(ISNUMBER(SEARCH("Fraud",H13)),ISNUMBER(SEARCH("Card Not Present",H13))),"T1 — Fraud / Card Not Present",IF(OR(ISNUMBER(SEARCH("Not Received",H13)),ISNUMBER(SEARCH("INR",H13))),"T2 — Item Not Received",IF(OR(ISNUMBER(SEARCH("Not as Described",H13)),ISNUMBER(SEARCH("SNAD",H13))),"T3 — Not as Described",IF(ISNUMBER(SEARCH("Credit",H13)),"T4 — Credit Not Processed",IF(ISNUMBER(SEARCH("Subscription",H13)),"T5 — Subscription Cancelled",IF(ISNUMBER(SEARCH("Digital",H13)),"T6 — Digital Goods Not Delivered",IF(OR(ISNUMBER(SEARCH("Amex",H13)),ISNUMBER(SEARCH("Inquiry",H13))),"T7 — Amex / Inquiry","T7 — General / Other"))))))))</f>
        <v/>
      </c>
      <c r="O13" s="85" t="n"/>
      <c r="P13" s="85" t="n"/>
      <c r="Q13" s="85" t="n"/>
      <c r="R13" s="85" t="n"/>
      <c r="S13" s="85" t="n"/>
      <c r="T13" s="85" t="n"/>
      <c r="U13" s="110" t="n"/>
      <c r="V13" s="85" t="n"/>
      <c r="W13" s="85" t="n"/>
      <c r="X13" s="204">
        <f>IF(V13="Win",I13-J13,IF(OR(V13="Accepted",V13="Withdrawn"),-J13,IF(V13="Loss",-I13-J13,"")))</f>
        <v/>
      </c>
      <c r="Y13" s="85" t="n"/>
      <c r="Z13" s="205">
        <f>IF(B13="","—",IF(AND(A13&lt;&gt;"",B13&lt;&gt;"",C13&lt;&gt;"",E13&lt;&gt;"",F13&lt;&gt;"",G13&lt;&gt;"",H13&lt;&gt;"",K13&lt;&gt;""),"✓ CLEAR","✗ BLOCKED"))</f>
        <v/>
      </c>
      <c r="AA13" s="206">
        <f>IF(B13="","—",IF(K13="Accept","N/A — Accepted",IF(AND(A13&lt;&gt;"",B13&lt;&gt;"",C13&lt;&gt;"",E13&lt;&gt;"",F13&lt;&gt;"",G13&lt;&gt;"",H13&lt;&gt;"",K13&lt;&gt;""),IF(S13="Yes","✓ CLEAR","✗ BLOCKED"),"— Checkpoint 1 first")))</f>
        <v/>
      </c>
      <c r="AB13" s="207">
        <f>IF(B13="","—",IF(K13="Accept","N/A — Accepted",IF(V13&lt;&gt;"","✓ RESOLVED: "&amp;V13,IF(T13&lt;&gt;"","✓ SUBMITTED",IF(S13="Yes","READY — submit now","✗ BLOCKED")))))</f>
        <v/>
      </c>
    </row>
    <row r="14" ht="58" customHeight="1">
      <c r="A14" s="83" t="n"/>
      <c r="B14" s="83" t="n"/>
      <c r="C14" s="83" t="n"/>
      <c r="D14" s="104">
        <f>IF(C14="","",C14-TODAY())</f>
        <v/>
      </c>
      <c r="E14" s="83" t="n"/>
      <c r="F14" s="83" t="n"/>
      <c r="G14" s="83" t="n"/>
      <c r="H14" s="83" t="n"/>
      <c r="I14" s="83" t="n"/>
      <c r="J14" s="83" t="n"/>
      <c r="K14" s="83" t="n"/>
      <c r="L14" s="105">
        <f>IF(B14="","→ Enter dispute details to begin",IF(K14="","→ Run Fight-or-Flight Calculator → enter decision in col K",IF(K14="Accept","✓ Accepted — log in Learning Loop if instructive",IF(V14&lt;&gt;"","✓ Resolved: "&amp;V14&amp;" — complete Learning Loop row",IF(T14&lt;&gt;"","→ Awaiting processor decision — monitor portal",IF(S14="Yes","→ Submit via "&amp;IF(E14="Stripe","Stripe Dashboard → Disputes",IF(E14="Shopify Payments","Shopify Admin → Orders → Chargebacks","PayPal Resolution Centre")),IF(AND(ISNUMBER(D14),D14&lt;=3),"⚠ URGENT: "&amp;D14&amp;" days left — submit NOW",IF(ISNUMBER(D14),"→ Gather evidence (col M) — "&amp;D14&amp;" days remaining","→ Gather evidence per checklist in col M"))))))))</f>
        <v/>
      </c>
      <c r="M14" s="106">
        <f>IF(H14="","—",IF(OR(ISNUMBER(SEARCH("Fraud",H14)),ISNUMBER(SEARCH("Card Not Present",H14))),"✦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Received",H14)),ISNUMBER(SEARCH("INR",H14))),"✦ Carrier proof of delivery (PDF)"&amp;CHAR(10)&amp;"✦ Tracking number + carrier"&amp;CHAR(10)&amp;"✦ Shipping confirmation email"&amp;CHAR(10)&amp;"✦ Order confirmation",IF(OR(ISNUMBER(SEARCH("Not as Described",H14)),ISNUMBER(SEARCH("SNAD",H14))),"✦ Product listing screenshot"&amp;CHAR(10)&amp;"✦ Order confirmation"&amp;CHAR(10)&amp;"✦ Product photos (as shipped)"&amp;CHAR(10)&amp;"✦ Customer support thread",IF(ISNUMBER(SEARCH("Credit",H14)),"✦ Refund confirmation + timestamp"&amp;CHAR(10)&amp;"✦ Order confirmation"&amp;CHAR(10)&amp;"✦ Customer communication",IF(ISNUMBER(SEARCH("Duplicate",H14)),"✦ Transaction records (single charge)"&amp;CHAR(10)&amp;"✦ Order confirmation"&amp;CHAR(10)&amp;"✦ Processor payment history",IF(ISNUMBER(SEARCH("Subscription",H14)),"✦ Subscription terms at sign-up"&amp;CHAR(10)&amp;"✦ Cancellation policy"&amp;CHAR(10)&amp;"✦ No cancellation received proof",IF(ISNUMBER(SEARCH("Digital",H14)),"✦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4" s="105">
        <f>IF(H14="","—",IF(OR(ISNUMBER(SEARCH("Fraud",H14)),ISNUMBER(SEARCH("Card Not Present",H14))),"T1 — Fraud / Card Not Present",IF(OR(ISNUMBER(SEARCH("Not Received",H14)),ISNUMBER(SEARCH("INR",H14))),"T2 — Item Not Received",IF(OR(ISNUMBER(SEARCH("Not as Described",H14)),ISNUMBER(SEARCH("SNAD",H14))),"T3 — Not as Described",IF(ISNUMBER(SEARCH("Credit",H14)),"T4 — Credit Not Processed",IF(ISNUMBER(SEARCH("Subscription",H14)),"T5 — Subscription Cancelled",IF(ISNUMBER(SEARCH("Digital",H14)),"T6 — Digital Goods Not Delivered",IF(OR(ISNUMBER(SEARCH("Amex",H14)),ISNUMBER(SEARCH("Inquiry",H14))),"T7 — Amex / Inquiry","T7 — General / Other"))))))))</f>
        <v/>
      </c>
      <c r="O14" s="83" t="n"/>
      <c r="P14" s="83" t="n"/>
      <c r="Q14" s="83" t="n"/>
      <c r="R14" s="83" t="n"/>
      <c r="S14" s="83" t="n"/>
      <c r="T14" s="83" t="n"/>
      <c r="U14" s="107" t="n"/>
      <c r="V14" s="83" t="n"/>
      <c r="W14" s="83" t="n"/>
      <c r="X14" s="156">
        <f>IF(V14="Win",I14-J14,IF(OR(V14="Accepted",V14="Withdrawn"),-J14,IF(V14="Loss",-I14-J14,"")))</f>
        <v/>
      </c>
      <c r="Y14" s="83" t="n"/>
      <c r="Z14" s="198">
        <f>IF(B14="","—",IF(AND(A14&lt;&gt;"",B14&lt;&gt;"",C14&lt;&gt;"",E14&lt;&gt;"",F14&lt;&gt;"",G14&lt;&gt;"",H14&lt;&gt;"",K14&lt;&gt;""),"✓ CLEAR","✗ BLOCKED"))</f>
        <v/>
      </c>
      <c r="AA14" s="199">
        <f>IF(B14="","—",IF(K14="Accept","N/A — Accepted",IF(AND(A14&lt;&gt;"",B14&lt;&gt;"",C14&lt;&gt;"",E14&lt;&gt;"",F14&lt;&gt;"",G14&lt;&gt;"",H14&lt;&gt;"",K14&lt;&gt;""),IF(S14="Yes","✓ CLEAR","✗ BLOCKED"),"— Checkpoint 1 first")))</f>
        <v/>
      </c>
      <c r="AB14" s="200">
        <f>IF(B14="","—",IF(K14="Accept","N/A — Accepted",IF(V14&lt;&gt;"","✓ RESOLVED: "&amp;V14,IF(T14&lt;&gt;"","✓ SUBMITTED",IF(S14="Yes","READY — submit now","✗ BLOCKED")))))</f>
        <v/>
      </c>
    </row>
    <row r="15" ht="58" customHeight="1">
      <c r="A15" s="85" t="n"/>
      <c r="B15" s="85" t="n"/>
      <c r="C15" s="85" t="n"/>
      <c r="D15" s="109">
        <f>IF(C15="","",C15-TODAY())</f>
        <v/>
      </c>
      <c r="E15" s="85" t="n"/>
      <c r="F15" s="85" t="n"/>
      <c r="G15" s="85" t="n"/>
      <c r="H15" s="85" t="n"/>
      <c r="I15" s="85" t="n"/>
      <c r="J15" s="85" t="n"/>
      <c r="K15" s="85" t="n"/>
      <c r="L15" s="105">
        <f>IF(B15="","→ Enter dispute details to begin",IF(K15="","→ Run Fight-or-Flight Calculator → enter decision in col K",IF(K15="Accept","✓ Accepted — log in Learning Loop if instructive",IF(V15&lt;&gt;"","✓ Resolved: "&amp;V15&amp;" — complete Learning Loop row",IF(T15&lt;&gt;"","→ Awaiting processor decision — monitor portal",IF(S15="Yes","→ Submit via "&amp;IF(E15="Stripe","Stripe Dashboard → Disputes",IF(E15="Shopify Payments","Shopify Admin → Orders → Chargebacks","PayPal Resolution Centre")),IF(AND(ISNUMBER(D15),D15&lt;=3),"⚠ URGENT: "&amp;D15&amp;" days left — submit NOW",IF(ISNUMBER(D15),"→ Gather evidence (col M) — "&amp;D15&amp;" days remaining","→ Gather evidence per checklist in col M"))))))))</f>
        <v/>
      </c>
      <c r="M15" s="106">
        <f>IF(H15="","—",IF(OR(ISNUMBER(SEARCH("Fraud",H15)),ISNUMBER(SEARCH("Card Not Present",H15))),"✦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Received",H15)),ISNUMBER(SEARCH("INR",H15))),"✦ Carrier proof of delivery (PDF)"&amp;CHAR(10)&amp;"✦ Tracking number + carrier"&amp;CHAR(10)&amp;"✦ Shipping confirmation email"&amp;CHAR(10)&amp;"✦ Order confirmation",IF(OR(ISNUMBER(SEARCH("Not as Described",H15)),ISNUMBER(SEARCH("SNAD",H15))),"✦ Product listing screenshot"&amp;CHAR(10)&amp;"✦ Order confirmation"&amp;CHAR(10)&amp;"✦ Product photos (as shipped)"&amp;CHAR(10)&amp;"✦ Customer support thread",IF(ISNUMBER(SEARCH("Credit",H15)),"✦ Refund confirmation + timestamp"&amp;CHAR(10)&amp;"✦ Order confirmation"&amp;CHAR(10)&amp;"✦ Customer communication",IF(ISNUMBER(SEARCH("Duplicate",H15)),"✦ Transaction records (single charge)"&amp;CHAR(10)&amp;"✦ Order confirmation"&amp;CHAR(10)&amp;"✦ Processor payment history",IF(ISNUMBER(SEARCH("Subscription",H15)),"✦ Subscription terms at sign-up"&amp;CHAR(10)&amp;"✦ Cancellation policy"&amp;CHAR(10)&amp;"✦ No cancellation received proof",IF(ISNUMBER(SEARCH("Digital",H15)),"✦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5" s="105">
        <f>IF(H15="","—",IF(OR(ISNUMBER(SEARCH("Fraud",H15)),ISNUMBER(SEARCH("Card Not Present",H15))),"T1 — Fraud / Card Not Present",IF(OR(ISNUMBER(SEARCH("Not Received",H15)),ISNUMBER(SEARCH("INR",H15))),"T2 — Item Not Received",IF(OR(ISNUMBER(SEARCH("Not as Described",H15)),ISNUMBER(SEARCH("SNAD",H15))),"T3 — Not as Described",IF(ISNUMBER(SEARCH("Credit",H15)),"T4 — Credit Not Processed",IF(ISNUMBER(SEARCH("Subscription",H15)),"T5 — Subscription Cancelled",IF(ISNUMBER(SEARCH("Digital",H15)),"T6 — Digital Goods Not Delivered",IF(OR(ISNUMBER(SEARCH("Amex",H15)),ISNUMBER(SEARCH("Inquiry",H15))),"T7 — Amex / Inquiry","T7 — General / Other"))))))))</f>
        <v/>
      </c>
      <c r="O15" s="85" t="n"/>
      <c r="P15" s="85" t="n"/>
      <c r="Q15" s="85" t="n"/>
      <c r="R15" s="85" t="n"/>
      <c r="S15" s="85" t="n"/>
      <c r="T15" s="85" t="n"/>
      <c r="U15" s="110" t="n"/>
      <c r="V15" s="85" t="n"/>
      <c r="W15" s="85" t="n"/>
      <c r="X15" s="204">
        <f>IF(V15="Win",I15-J15,IF(OR(V15="Accepted",V15="Withdrawn"),-J15,IF(V15="Loss",-I15-J15,"")))</f>
        <v/>
      </c>
      <c r="Y15" s="85" t="n"/>
      <c r="Z15" s="205">
        <f>IF(B15="","—",IF(AND(A15&lt;&gt;"",B15&lt;&gt;"",C15&lt;&gt;"",E15&lt;&gt;"",F15&lt;&gt;"",G15&lt;&gt;"",H15&lt;&gt;"",K15&lt;&gt;""),"✓ CLEAR","✗ BLOCKED"))</f>
        <v/>
      </c>
      <c r="AA15" s="206">
        <f>IF(B15="","—",IF(K15="Accept","N/A — Accepted",IF(AND(A15&lt;&gt;"",B15&lt;&gt;"",C15&lt;&gt;"",E15&lt;&gt;"",F15&lt;&gt;"",G15&lt;&gt;"",H15&lt;&gt;"",K15&lt;&gt;""),IF(S15="Yes","✓ CLEAR","✗ BLOCKED"),"— Checkpoint 1 first")))</f>
        <v/>
      </c>
      <c r="AB15" s="207">
        <f>IF(B15="","—",IF(K15="Accept","N/A — Accepted",IF(V15&lt;&gt;"","✓ RESOLVED: "&amp;V15,IF(T15&lt;&gt;"","✓ SUBMITTED",IF(S15="Yes","READY — submit now","✗ BLOCKED")))))</f>
        <v/>
      </c>
    </row>
    <row r="16" ht="58" customHeight="1">
      <c r="A16" s="83" t="n"/>
      <c r="B16" s="83" t="n"/>
      <c r="C16" s="83" t="n"/>
      <c r="D16" s="104">
        <f>IF(C16="","",C16-TODAY())</f>
        <v/>
      </c>
      <c r="E16" s="83" t="n"/>
      <c r="F16" s="83" t="n"/>
      <c r="G16" s="83" t="n"/>
      <c r="H16" s="83" t="n"/>
      <c r="I16" s="83" t="n"/>
      <c r="J16" s="83" t="n"/>
      <c r="K16" s="83" t="n"/>
      <c r="L16" s="105">
        <f>IF(B16="","→ Enter dispute details to begin",IF(K16="","→ Run Fight-or-Flight Calculator → enter decision in col K",IF(K16="Accept","✓ Accepted — log in Learning Loop if instructive",IF(V16&lt;&gt;"","✓ Resolved: "&amp;V16&amp;" — complete Learning Loop row",IF(T16&lt;&gt;"","→ Awaiting processor decision — monitor portal",IF(S16="Yes","→ Submit via "&amp;IF(E16="Stripe","Stripe Dashboard → Disputes",IF(E16="Shopify Payments","Shopify Admin → Orders → Chargebacks","PayPal Resolution Centre")),IF(AND(ISNUMBER(D16),D16&lt;=3),"⚠ URGENT: "&amp;D16&amp;" days left — submit NOW",IF(ISNUMBER(D16),"→ Gather evidence (col M) — "&amp;D16&amp;" days remaining","→ Gather evidence per checklist in col M"))))))))</f>
        <v/>
      </c>
      <c r="M16" s="106">
        <f>IF(H16="","—",IF(OR(ISNUMBER(SEARCH("Fraud",H16)),ISNUMBER(SEARCH("Card Not Present",H16))),"✦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Received",H16)),ISNUMBER(SEARCH("INR",H16))),"✦ Carrier proof of delivery (PDF)"&amp;CHAR(10)&amp;"✦ Tracking number + carrier"&amp;CHAR(10)&amp;"✦ Shipping confirmation email"&amp;CHAR(10)&amp;"✦ Order confirmation",IF(OR(ISNUMBER(SEARCH("Not as Described",H16)),ISNUMBER(SEARCH("SNAD",H16))),"✦ Product listing screenshot"&amp;CHAR(10)&amp;"✦ Order confirmation"&amp;CHAR(10)&amp;"✦ Product photos (as shipped)"&amp;CHAR(10)&amp;"✦ Customer support thread",IF(ISNUMBER(SEARCH("Credit",H16)),"✦ Refund confirmation + timestamp"&amp;CHAR(10)&amp;"✦ Order confirmation"&amp;CHAR(10)&amp;"✦ Customer communication",IF(ISNUMBER(SEARCH("Duplicate",H16)),"✦ Transaction records (single charge)"&amp;CHAR(10)&amp;"✦ Order confirmation"&amp;CHAR(10)&amp;"✦ Processor payment history",IF(ISNUMBER(SEARCH("Subscription",H16)),"✦ Subscription terms at sign-up"&amp;CHAR(10)&amp;"✦ Cancellation policy"&amp;CHAR(10)&amp;"✦ No cancellation received proof",IF(ISNUMBER(SEARCH("Digital",H16)),"✦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6" s="105">
        <f>IF(H16="","—",IF(OR(ISNUMBER(SEARCH("Fraud",H16)),ISNUMBER(SEARCH("Card Not Present",H16))),"T1 — Fraud / Card Not Present",IF(OR(ISNUMBER(SEARCH("Not Received",H16)),ISNUMBER(SEARCH("INR",H16))),"T2 — Item Not Received",IF(OR(ISNUMBER(SEARCH("Not as Described",H16)),ISNUMBER(SEARCH("SNAD",H16))),"T3 — Not as Described",IF(ISNUMBER(SEARCH("Credit",H16)),"T4 — Credit Not Processed",IF(ISNUMBER(SEARCH("Subscription",H16)),"T5 — Subscription Cancelled",IF(ISNUMBER(SEARCH("Digital",H16)),"T6 — Digital Goods Not Delivered",IF(OR(ISNUMBER(SEARCH("Amex",H16)),ISNUMBER(SEARCH("Inquiry",H16))),"T7 — Amex / Inquiry","T7 — General / Other"))))))))</f>
        <v/>
      </c>
      <c r="O16" s="83" t="n"/>
      <c r="P16" s="83" t="n"/>
      <c r="Q16" s="83" t="n"/>
      <c r="R16" s="83" t="n"/>
      <c r="S16" s="83" t="n"/>
      <c r="T16" s="83" t="n"/>
      <c r="U16" s="107" t="n"/>
      <c r="V16" s="83" t="n"/>
      <c r="W16" s="83" t="n"/>
      <c r="X16" s="156">
        <f>IF(V16="Win",I16-J16,IF(OR(V16="Accepted",V16="Withdrawn"),-J16,IF(V16="Loss",-I16-J16,"")))</f>
        <v/>
      </c>
      <c r="Y16" s="83" t="n"/>
      <c r="Z16" s="198">
        <f>IF(B16="","—",IF(AND(A16&lt;&gt;"",B16&lt;&gt;"",C16&lt;&gt;"",E16&lt;&gt;"",F16&lt;&gt;"",G16&lt;&gt;"",H16&lt;&gt;"",K16&lt;&gt;""),"✓ CLEAR","✗ BLOCKED"))</f>
        <v/>
      </c>
      <c r="AA16" s="199">
        <f>IF(B16="","—",IF(K16="Accept","N/A — Accepted",IF(AND(A16&lt;&gt;"",B16&lt;&gt;"",C16&lt;&gt;"",E16&lt;&gt;"",F16&lt;&gt;"",G16&lt;&gt;"",H16&lt;&gt;"",K16&lt;&gt;""),IF(S16="Yes","✓ CLEAR","✗ BLOCKED"),"— Checkpoint 1 first")))</f>
        <v/>
      </c>
      <c r="AB16" s="200">
        <f>IF(B16="","—",IF(K16="Accept","N/A — Accepted",IF(V16&lt;&gt;"","✓ RESOLVED: "&amp;V16,IF(T16&lt;&gt;"","✓ SUBMITTED",IF(S16="Yes","READY — submit now","✗ BLOCKED")))))</f>
        <v/>
      </c>
    </row>
    <row r="17" ht="58" customHeight="1">
      <c r="A17" s="85" t="n"/>
      <c r="B17" s="85" t="n"/>
      <c r="C17" s="85" t="n"/>
      <c r="D17" s="109">
        <f>IF(C17="","",C17-TODAY())</f>
        <v/>
      </c>
      <c r="E17" s="85" t="n"/>
      <c r="F17" s="85" t="n"/>
      <c r="G17" s="85" t="n"/>
      <c r="H17" s="85" t="n"/>
      <c r="I17" s="85" t="n"/>
      <c r="J17" s="85" t="n"/>
      <c r="K17" s="85" t="n"/>
      <c r="L17" s="105">
        <f>IF(B17="","→ Enter dispute details to begin",IF(K17="","→ Run Fight-or-Flight Calculator → enter decision in col K",IF(K17="Accept","✓ Accepted — log in Learning Loop if instructive",IF(V17&lt;&gt;"","✓ Resolved: "&amp;V17&amp;" — complete Learning Loop row",IF(T17&lt;&gt;"","→ Awaiting processor decision — monitor portal",IF(S17="Yes","→ Submit via "&amp;IF(E17="Stripe","Stripe Dashboard → Disputes",IF(E17="Shopify Payments","Shopify Admin → Orders → Chargebacks","PayPal Resolution Centre")),IF(AND(ISNUMBER(D17),D17&lt;=3),"⚠ URGENT: "&amp;D17&amp;" days left — submit NOW",IF(ISNUMBER(D17),"→ Gather evidence (col M) — "&amp;D17&amp;" days remaining","→ Gather evidence per checklist in col M"))))))))</f>
        <v/>
      </c>
      <c r="M17" s="106">
        <f>IF(H17="","—",IF(OR(ISNUMBER(SEARCH("Fraud",H17)),ISNUMBER(SEARCH("Card Not Present",H17))),"✦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Received",H17)),ISNUMBER(SEARCH("INR",H17))),"✦ Carrier proof of delivery (PDF)"&amp;CHAR(10)&amp;"✦ Tracking number + carrier"&amp;CHAR(10)&amp;"✦ Shipping confirmation email"&amp;CHAR(10)&amp;"✦ Order confirmation",IF(OR(ISNUMBER(SEARCH("Not as Described",H17)),ISNUMBER(SEARCH("SNAD",H17))),"✦ Product listing screenshot"&amp;CHAR(10)&amp;"✦ Order confirmation"&amp;CHAR(10)&amp;"✦ Product photos (as shipped)"&amp;CHAR(10)&amp;"✦ Customer support thread",IF(ISNUMBER(SEARCH("Credit",H17)),"✦ Refund confirmation + timestamp"&amp;CHAR(10)&amp;"✦ Order confirmation"&amp;CHAR(10)&amp;"✦ Customer communication",IF(ISNUMBER(SEARCH("Duplicate",H17)),"✦ Transaction records (single charge)"&amp;CHAR(10)&amp;"✦ Order confirmation"&amp;CHAR(10)&amp;"✦ Processor payment history",IF(ISNUMBER(SEARCH("Subscription",H17)),"✦ Subscription terms at sign-up"&amp;CHAR(10)&amp;"✦ Cancellation policy"&amp;CHAR(10)&amp;"✦ No cancellation received proof",IF(ISNUMBER(SEARCH("Digital",H17)),"✦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7" s="105">
        <f>IF(H17="","—",IF(OR(ISNUMBER(SEARCH("Fraud",H17)),ISNUMBER(SEARCH("Card Not Present",H17))),"T1 — Fraud / Card Not Present",IF(OR(ISNUMBER(SEARCH("Not Received",H17)),ISNUMBER(SEARCH("INR",H17))),"T2 — Item Not Received",IF(OR(ISNUMBER(SEARCH("Not as Described",H17)),ISNUMBER(SEARCH("SNAD",H17))),"T3 — Not as Described",IF(ISNUMBER(SEARCH("Credit",H17)),"T4 — Credit Not Processed",IF(ISNUMBER(SEARCH("Subscription",H17)),"T5 — Subscription Cancelled",IF(ISNUMBER(SEARCH("Digital",H17)),"T6 — Digital Goods Not Delivered",IF(OR(ISNUMBER(SEARCH("Amex",H17)),ISNUMBER(SEARCH("Inquiry",H17))),"T7 — Amex / Inquiry","T7 — General / Other"))))))))</f>
        <v/>
      </c>
      <c r="O17" s="85" t="n"/>
      <c r="P17" s="85" t="n"/>
      <c r="Q17" s="85" t="n"/>
      <c r="R17" s="85" t="n"/>
      <c r="S17" s="85" t="n"/>
      <c r="T17" s="85" t="n"/>
      <c r="U17" s="110" t="n"/>
      <c r="V17" s="85" t="n"/>
      <c r="W17" s="85" t="n"/>
      <c r="X17" s="204">
        <f>IF(V17="Win",I17-J17,IF(OR(V17="Accepted",V17="Withdrawn"),-J17,IF(V17="Loss",-I17-J17,"")))</f>
        <v/>
      </c>
      <c r="Y17" s="85" t="n"/>
      <c r="Z17" s="205">
        <f>IF(B17="","—",IF(AND(A17&lt;&gt;"",B17&lt;&gt;"",C17&lt;&gt;"",E17&lt;&gt;"",F17&lt;&gt;"",G17&lt;&gt;"",H17&lt;&gt;"",K17&lt;&gt;""),"✓ CLEAR","✗ BLOCKED"))</f>
        <v/>
      </c>
      <c r="AA17" s="206">
        <f>IF(B17="","—",IF(K17="Accept","N/A — Accepted",IF(AND(A17&lt;&gt;"",B17&lt;&gt;"",C17&lt;&gt;"",E17&lt;&gt;"",F17&lt;&gt;"",G17&lt;&gt;"",H17&lt;&gt;"",K17&lt;&gt;""),IF(S17="Yes","✓ CLEAR","✗ BLOCKED"),"— Checkpoint 1 first")))</f>
        <v/>
      </c>
      <c r="AB17" s="207">
        <f>IF(B17="","—",IF(K17="Accept","N/A — Accepted",IF(V17&lt;&gt;"","✓ RESOLVED: "&amp;V17,IF(T17&lt;&gt;"","✓ SUBMITTED",IF(S17="Yes","READY — submit now","✗ BLOCKED")))))</f>
        <v/>
      </c>
    </row>
    <row r="18" ht="58" customHeight="1">
      <c r="A18" s="83" t="n"/>
      <c r="B18" s="83" t="n"/>
      <c r="C18" s="83" t="n"/>
      <c r="D18" s="104">
        <f>IF(C18="","",C18-TODAY())</f>
        <v/>
      </c>
      <c r="E18" s="83" t="n"/>
      <c r="F18" s="83" t="n"/>
      <c r="G18" s="83" t="n"/>
      <c r="H18" s="83" t="n"/>
      <c r="I18" s="83" t="n"/>
      <c r="J18" s="83" t="n"/>
      <c r="K18" s="83" t="n"/>
      <c r="L18" s="105">
        <f>IF(B18="","→ Enter dispute details to begin",IF(K18="","→ Run Fight-or-Flight Calculator → enter decision in col K",IF(K18="Accept","✓ Accepted — log in Learning Loop if instructive",IF(V18&lt;&gt;"","✓ Resolved: "&amp;V18&amp;" — complete Learning Loop row",IF(T18&lt;&gt;"","→ Awaiting processor decision — monitor portal",IF(S18="Yes","→ Submit via "&amp;IF(E18="Stripe","Stripe Dashboard → Disputes",IF(E18="Shopify Payments","Shopify Admin → Orders → Chargebacks","PayPal Resolution Centre")),IF(AND(ISNUMBER(D18),D18&lt;=3),"⚠ URGENT: "&amp;D18&amp;" days left — submit NOW",IF(ISNUMBER(D18),"→ Gather evidence (col M) — "&amp;D18&amp;" days remaining","→ Gather evidence per checklist in col M"))))))))</f>
        <v/>
      </c>
      <c r="M18" s="106">
        <f>IF(H18="","—",IF(OR(ISNUMBER(SEARCH("Fraud",H18)),ISNUMBER(SEARCH("Card Not Present",H18))),"✦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Received",H18)),ISNUMBER(SEARCH("INR",H18))),"✦ Carrier proof of delivery (PDF)"&amp;CHAR(10)&amp;"✦ Tracking number + carrier"&amp;CHAR(10)&amp;"✦ Shipping confirmation email"&amp;CHAR(10)&amp;"✦ Order confirmation",IF(OR(ISNUMBER(SEARCH("Not as Described",H18)),ISNUMBER(SEARCH("SNAD",H18))),"✦ Product listing screenshot"&amp;CHAR(10)&amp;"✦ Order confirmation"&amp;CHAR(10)&amp;"✦ Product photos (as shipped)"&amp;CHAR(10)&amp;"✦ Customer support thread",IF(ISNUMBER(SEARCH("Credit",H18)),"✦ Refund confirmation + timestamp"&amp;CHAR(10)&amp;"✦ Order confirmation"&amp;CHAR(10)&amp;"✦ Customer communication",IF(ISNUMBER(SEARCH("Duplicate",H18)),"✦ Transaction records (single charge)"&amp;CHAR(10)&amp;"✦ Order confirmation"&amp;CHAR(10)&amp;"✦ Processor payment history",IF(ISNUMBER(SEARCH("Subscription",H18)),"✦ Subscription terms at sign-up"&amp;CHAR(10)&amp;"✦ Cancellation policy"&amp;CHAR(10)&amp;"✦ No cancellation received proof",IF(ISNUMBER(SEARCH("Digital",H18)),"✦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8" s="105">
        <f>IF(H18="","—",IF(OR(ISNUMBER(SEARCH("Fraud",H18)),ISNUMBER(SEARCH("Card Not Present",H18))),"T1 — Fraud / Card Not Present",IF(OR(ISNUMBER(SEARCH("Not Received",H18)),ISNUMBER(SEARCH("INR",H18))),"T2 — Item Not Received",IF(OR(ISNUMBER(SEARCH("Not as Described",H18)),ISNUMBER(SEARCH("SNAD",H18))),"T3 — Not as Described",IF(ISNUMBER(SEARCH("Credit",H18)),"T4 — Credit Not Processed",IF(ISNUMBER(SEARCH("Subscription",H18)),"T5 — Subscription Cancelled",IF(ISNUMBER(SEARCH("Digital",H18)),"T6 — Digital Goods Not Delivered",IF(OR(ISNUMBER(SEARCH("Amex",H18)),ISNUMBER(SEARCH("Inquiry",H18))),"T7 — Amex / Inquiry","T7 — General / Other"))))))))</f>
        <v/>
      </c>
      <c r="O18" s="83" t="n"/>
      <c r="P18" s="83" t="n"/>
      <c r="Q18" s="83" t="n"/>
      <c r="R18" s="83" t="n"/>
      <c r="S18" s="83" t="n"/>
      <c r="T18" s="83" t="n"/>
      <c r="U18" s="107" t="n"/>
      <c r="V18" s="83" t="n"/>
      <c r="W18" s="83" t="n"/>
      <c r="X18" s="156">
        <f>IF(V18="Win",I18-J18,IF(OR(V18="Accepted",V18="Withdrawn"),-J18,IF(V18="Loss",-I18-J18,"")))</f>
        <v/>
      </c>
      <c r="Y18" s="83" t="n"/>
      <c r="Z18" s="198">
        <f>IF(B18="","—",IF(AND(A18&lt;&gt;"",B18&lt;&gt;"",C18&lt;&gt;"",E18&lt;&gt;"",F18&lt;&gt;"",G18&lt;&gt;"",H18&lt;&gt;"",K18&lt;&gt;""),"✓ CLEAR","✗ BLOCKED"))</f>
        <v/>
      </c>
      <c r="AA18" s="199">
        <f>IF(B18="","—",IF(K18="Accept","N/A — Accepted",IF(AND(A18&lt;&gt;"",B18&lt;&gt;"",C18&lt;&gt;"",E18&lt;&gt;"",F18&lt;&gt;"",G18&lt;&gt;"",H18&lt;&gt;"",K18&lt;&gt;""),IF(S18="Yes","✓ CLEAR","✗ BLOCKED"),"— Checkpoint 1 first")))</f>
        <v/>
      </c>
      <c r="AB18" s="200">
        <f>IF(B18="","—",IF(K18="Accept","N/A — Accepted",IF(V18&lt;&gt;"","✓ RESOLVED: "&amp;V18,IF(T18&lt;&gt;"","✓ SUBMITTED",IF(S18="Yes","READY — submit now","✗ BLOCKED")))))</f>
        <v/>
      </c>
    </row>
    <row r="19" ht="58" customHeight="1">
      <c r="A19" s="85" t="n"/>
      <c r="B19" s="85" t="n"/>
      <c r="C19" s="85" t="n"/>
      <c r="D19" s="109">
        <f>IF(C19="","",C19-TODAY())</f>
        <v/>
      </c>
      <c r="E19" s="85" t="n"/>
      <c r="F19" s="85" t="n"/>
      <c r="G19" s="85" t="n"/>
      <c r="H19" s="85" t="n"/>
      <c r="I19" s="85" t="n"/>
      <c r="J19" s="85" t="n"/>
      <c r="K19" s="85" t="n"/>
      <c r="L19" s="105">
        <f>IF(B19="","→ Enter dispute details to begin",IF(K19="","→ Run Fight-or-Flight Calculator → enter decision in col K",IF(K19="Accept","✓ Accepted — log in Learning Loop if instructive",IF(V19&lt;&gt;"","✓ Resolved: "&amp;V19&amp;" — complete Learning Loop row",IF(T19&lt;&gt;"","→ Awaiting processor decision — monitor portal",IF(S19="Yes","→ Submit via "&amp;IF(E19="Stripe","Stripe Dashboard → Disputes",IF(E19="Shopify Payments","Shopify Admin → Orders → Chargebacks","PayPal Resolution Centre")),IF(AND(ISNUMBER(D19),D19&lt;=3),"⚠ URGENT: "&amp;D19&amp;" days left — submit NOW",IF(ISNUMBER(D19),"→ Gather evidence (col M) — "&amp;D19&amp;" days remaining","→ Gather evidence per checklist in col M"))))))))</f>
        <v/>
      </c>
      <c r="M19" s="106">
        <f>IF(H19="","—",IF(OR(ISNUMBER(SEARCH("Fraud",H19)),ISNUMBER(SEARCH("Card Not Present",H19))),"✦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Received",H19)),ISNUMBER(SEARCH("INR",H19))),"✦ Carrier proof of delivery (PDF)"&amp;CHAR(10)&amp;"✦ Tracking number + carrier"&amp;CHAR(10)&amp;"✦ Shipping confirmation email"&amp;CHAR(10)&amp;"✦ Order confirmation",IF(OR(ISNUMBER(SEARCH("Not as Described",H19)),ISNUMBER(SEARCH("SNAD",H19))),"✦ Product listing screenshot"&amp;CHAR(10)&amp;"✦ Order confirmation"&amp;CHAR(10)&amp;"✦ Product photos (as shipped)"&amp;CHAR(10)&amp;"✦ Customer support thread",IF(ISNUMBER(SEARCH("Credit",H19)),"✦ Refund confirmation + timestamp"&amp;CHAR(10)&amp;"✦ Order confirmation"&amp;CHAR(10)&amp;"✦ Customer communication",IF(ISNUMBER(SEARCH("Duplicate",H19)),"✦ Transaction records (single charge)"&amp;CHAR(10)&amp;"✦ Order confirmation"&amp;CHAR(10)&amp;"✦ Processor payment history",IF(ISNUMBER(SEARCH("Subscription",H19)),"✦ Subscription terms at sign-up"&amp;CHAR(10)&amp;"✦ Cancellation policy"&amp;CHAR(10)&amp;"✦ No cancellation received proof",IF(ISNUMBER(SEARCH("Digital",H19)),"✦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19" s="105">
        <f>IF(H19="","—",IF(OR(ISNUMBER(SEARCH("Fraud",H19)),ISNUMBER(SEARCH("Card Not Present",H19))),"T1 — Fraud / Card Not Present",IF(OR(ISNUMBER(SEARCH("Not Received",H19)),ISNUMBER(SEARCH("INR",H19))),"T2 — Item Not Received",IF(OR(ISNUMBER(SEARCH("Not as Described",H19)),ISNUMBER(SEARCH("SNAD",H19))),"T3 — Not as Described",IF(ISNUMBER(SEARCH("Credit",H19)),"T4 — Credit Not Processed",IF(ISNUMBER(SEARCH("Subscription",H19)),"T5 — Subscription Cancelled",IF(ISNUMBER(SEARCH("Digital",H19)),"T6 — Digital Goods Not Delivered",IF(OR(ISNUMBER(SEARCH("Amex",H19)),ISNUMBER(SEARCH("Inquiry",H19))),"T7 — Amex / Inquiry","T7 — General / Other"))))))))</f>
        <v/>
      </c>
      <c r="O19" s="85" t="n"/>
      <c r="P19" s="85" t="n"/>
      <c r="Q19" s="85" t="n"/>
      <c r="R19" s="85" t="n"/>
      <c r="S19" s="85" t="n"/>
      <c r="T19" s="85" t="n"/>
      <c r="U19" s="110" t="n"/>
      <c r="V19" s="85" t="n"/>
      <c r="W19" s="85" t="n"/>
      <c r="X19" s="204">
        <f>IF(V19="Win",I19-J19,IF(OR(V19="Accepted",V19="Withdrawn"),-J19,IF(V19="Loss",-I19-J19,"")))</f>
        <v/>
      </c>
      <c r="Y19" s="85" t="n"/>
      <c r="Z19" s="205">
        <f>IF(B19="","—",IF(AND(A19&lt;&gt;"",B19&lt;&gt;"",C19&lt;&gt;"",E19&lt;&gt;"",F19&lt;&gt;"",G19&lt;&gt;"",H19&lt;&gt;"",K19&lt;&gt;""),"✓ CLEAR","✗ BLOCKED"))</f>
        <v/>
      </c>
      <c r="AA19" s="206">
        <f>IF(B19="","—",IF(K19="Accept","N/A — Accepted",IF(AND(A19&lt;&gt;"",B19&lt;&gt;"",C19&lt;&gt;"",E19&lt;&gt;"",F19&lt;&gt;"",G19&lt;&gt;"",H19&lt;&gt;"",K19&lt;&gt;""),IF(S19="Yes","✓ CLEAR","✗ BLOCKED"),"— Checkpoint 1 first")))</f>
        <v/>
      </c>
      <c r="AB19" s="207">
        <f>IF(B19="","—",IF(K19="Accept","N/A — Accepted",IF(V19&lt;&gt;"","✓ RESOLVED: "&amp;V19,IF(T19&lt;&gt;"","✓ SUBMITTED",IF(S19="Yes","READY — submit now","✗ BLOCKED")))))</f>
        <v/>
      </c>
    </row>
    <row r="20" ht="58" customHeight="1">
      <c r="A20" s="83" t="n"/>
      <c r="B20" s="83" t="n"/>
      <c r="C20" s="83" t="n"/>
      <c r="D20" s="104">
        <f>IF(C20="","",C20-TODAY())</f>
        <v/>
      </c>
      <c r="E20" s="83" t="n"/>
      <c r="F20" s="83" t="n"/>
      <c r="G20" s="83" t="n"/>
      <c r="H20" s="83" t="n"/>
      <c r="I20" s="83" t="n"/>
      <c r="J20" s="83" t="n"/>
      <c r="K20" s="83" t="n"/>
      <c r="L20" s="105">
        <f>IF(B20="","→ Enter dispute details to begin",IF(K20="","→ Run Fight-or-Flight Calculator → enter decision in col K",IF(K20="Accept","✓ Accepted — log in Learning Loop if instructive",IF(V20&lt;&gt;"","✓ Resolved: "&amp;V20&amp;" — complete Learning Loop row",IF(T20&lt;&gt;"","→ Awaiting processor decision — monitor portal",IF(S20="Yes","→ Submit via "&amp;IF(E20="Stripe","Stripe Dashboard → Disputes",IF(E20="Shopify Payments","Shopify Admin → Orders → Chargebacks","PayPal Resolution Centre")),IF(AND(ISNUMBER(D20),D20&lt;=3),"⚠ URGENT: "&amp;D20&amp;" days left — submit NOW",IF(ISNUMBER(D20),"→ Gather evidence (col M) — "&amp;D20&amp;" days remaining","→ Gather evidence per checklist in col M"))))))))</f>
        <v/>
      </c>
      <c r="M20" s="106">
        <f>IF(H20="","—",IF(OR(ISNUMBER(SEARCH("Fraud",H20)),ISNUMBER(SEARCH("Card Not Present",H20))),"✦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Received",H20)),ISNUMBER(SEARCH("INR",H20))),"✦ Carrier proof of delivery (PDF)"&amp;CHAR(10)&amp;"✦ Tracking number + carrier"&amp;CHAR(10)&amp;"✦ Shipping confirmation email"&amp;CHAR(10)&amp;"✦ Order confirmation",IF(OR(ISNUMBER(SEARCH("Not as Described",H20)),ISNUMBER(SEARCH("SNAD",H20))),"✦ Product listing screenshot"&amp;CHAR(10)&amp;"✦ Order confirmation"&amp;CHAR(10)&amp;"✦ Product photos (as shipped)"&amp;CHAR(10)&amp;"✦ Customer support thread",IF(ISNUMBER(SEARCH("Credit",H20)),"✦ Refund confirmation + timestamp"&amp;CHAR(10)&amp;"✦ Order confirmation"&amp;CHAR(10)&amp;"✦ Customer communication",IF(ISNUMBER(SEARCH("Duplicate",H20)),"✦ Transaction records (single charge)"&amp;CHAR(10)&amp;"✦ Order confirmation"&amp;CHAR(10)&amp;"✦ Processor payment history",IF(ISNUMBER(SEARCH("Subscription",H20)),"✦ Subscription terms at sign-up"&amp;CHAR(10)&amp;"✦ Cancellation policy"&amp;CHAR(10)&amp;"✦ No cancellation received proof",IF(ISNUMBER(SEARCH("Digital",H20)),"✦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20" s="105">
        <f>IF(H20="","—",IF(OR(ISNUMBER(SEARCH("Fraud",H20)),ISNUMBER(SEARCH("Card Not Present",H20))),"T1 — Fraud / Card Not Present",IF(OR(ISNUMBER(SEARCH("Not Received",H20)),ISNUMBER(SEARCH("INR",H20))),"T2 — Item Not Received",IF(OR(ISNUMBER(SEARCH("Not as Described",H20)),ISNUMBER(SEARCH("SNAD",H20))),"T3 — Not as Described",IF(ISNUMBER(SEARCH("Credit",H20)),"T4 — Credit Not Processed",IF(ISNUMBER(SEARCH("Subscription",H20)),"T5 — Subscription Cancelled",IF(ISNUMBER(SEARCH("Digital",H20)),"T6 — Digital Goods Not Delivered",IF(OR(ISNUMBER(SEARCH("Amex",H20)),ISNUMBER(SEARCH("Inquiry",H20))),"T7 — Amex / Inquiry","T7 — General / Other"))))))))</f>
        <v/>
      </c>
      <c r="O20" s="83" t="n"/>
      <c r="P20" s="83" t="n"/>
      <c r="Q20" s="83" t="n"/>
      <c r="R20" s="83" t="n"/>
      <c r="S20" s="83" t="n"/>
      <c r="T20" s="83" t="n"/>
      <c r="U20" s="107" t="n"/>
      <c r="V20" s="83" t="n"/>
      <c r="W20" s="83" t="n"/>
      <c r="X20" s="156">
        <f>IF(V20="Win",I20-J20,IF(OR(V20="Accepted",V20="Withdrawn"),-J20,IF(V20="Loss",-I20-J20,"")))</f>
        <v/>
      </c>
      <c r="Y20" s="83" t="n"/>
      <c r="Z20" s="198">
        <f>IF(B20="","—",IF(AND(A20&lt;&gt;"",B20&lt;&gt;"",C20&lt;&gt;"",E20&lt;&gt;"",F20&lt;&gt;"",G20&lt;&gt;"",H20&lt;&gt;"",K20&lt;&gt;""),"✓ CLEAR","✗ BLOCKED"))</f>
        <v/>
      </c>
      <c r="AA20" s="199">
        <f>IF(B20="","—",IF(K20="Accept","N/A — Accepted",IF(AND(A20&lt;&gt;"",B20&lt;&gt;"",C20&lt;&gt;"",E20&lt;&gt;"",F20&lt;&gt;"",G20&lt;&gt;"",H20&lt;&gt;"",K20&lt;&gt;""),IF(S20="Yes","✓ CLEAR","✗ BLOCKED"),"— Checkpoint 1 first")))</f>
        <v/>
      </c>
      <c r="AB20" s="200">
        <f>IF(B20="","—",IF(K20="Accept","N/A — Accepted",IF(V20&lt;&gt;"","✓ RESOLVED: "&amp;V20,IF(T20&lt;&gt;"","✓ SUBMITTED",IF(S20="Yes","READY — submit now","✗ BLOCKED")))))</f>
        <v/>
      </c>
    </row>
    <row r="21" ht="58" customHeight="1">
      <c r="A21" s="85" t="n"/>
      <c r="B21" s="85" t="n"/>
      <c r="C21" s="85" t="n"/>
      <c r="D21" s="109">
        <f>IF(C21="","",C21-TODAY())</f>
        <v/>
      </c>
      <c r="E21" s="85" t="n"/>
      <c r="F21" s="85" t="n"/>
      <c r="G21" s="85" t="n"/>
      <c r="H21" s="85" t="n"/>
      <c r="I21" s="85" t="n"/>
      <c r="J21" s="85" t="n"/>
      <c r="K21" s="85" t="n"/>
      <c r="L21" s="105">
        <f>IF(B21="","→ Enter dispute details to begin",IF(K21="","→ Run Fight-or-Flight Calculator → enter decision in col K",IF(K21="Accept","✓ Accepted — log in Learning Loop if instructive",IF(V21&lt;&gt;"","✓ Resolved: "&amp;V21&amp;" — complete Learning Loop row",IF(T21&lt;&gt;"","→ Awaiting processor decision — monitor portal",IF(S21="Yes","→ Submit via "&amp;IF(E21="Stripe","Stripe Dashboard → Disputes",IF(E21="Shopify Payments","Shopify Admin → Orders → Chargebacks","PayPal Resolution Centre")),IF(AND(ISNUMBER(D21),D21&lt;=3),"⚠ URGENT: "&amp;D21&amp;" days left — submit NOW",IF(ISNUMBER(D21),"→ Gather evidence (col M) — "&amp;D21&amp;" days remaining","→ Gather evidence per checklist in col M"))))))))</f>
        <v/>
      </c>
      <c r="M21" s="106">
        <f>IF(H21="","—",IF(OR(ISNUMBER(SEARCH("Fraud",H21)),ISNUMBER(SEARCH("Card Not Present",H21))),"✦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Received",H21)),ISNUMBER(SEARCH("INR",H21))),"✦ Carrier proof of delivery (PDF)"&amp;CHAR(10)&amp;"✦ Tracking number + carrier"&amp;CHAR(10)&amp;"✦ Shipping confirmation email"&amp;CHAR(10)&amp;"✦ Order confirmation",IF(OR(ISNUMBER(SEARCH("Not as Described",H21)),ISNUMBER(SEARCH("SNAD",H21))),"✦ Product listing screenshot"&amp;CHAR(10)&amp;"✦ Order confirmation"&amp;CHAR(10)&amp;"✦ Product photos (as shipped)"&amp;CHAR(10)&amp;"✦ Customer support thread",IF(ISNUMBER(SEARCH("Credit",H21)),"✦ Refund confirmation + timestamp"&amp;CHAR(10)&amp;"✦ Order confirmation"&amp;CHAR(10)&amp;"✦ Customer communication",IF(ISNUMBER(SEARCH("Duplicate",H21)),"✦ Transaction records (single charge)"&amp;CHAR(10)&amp;"✦ Order confirmation"&amp;CHAR(10)&amp;"✦ Processor payment history",IF(ISNUMBER(SEARCH("Subscription",H21)),"✦ Subscription terms at sign-up"&amp;CHAR(10)&amp;"✦ Cancellation policy"&amp;CHAR(10)&amp;"✦ No cancellation received proof",IF(ISNUMBER(SEARCH("Digital",H21)),"✦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21" s="105">
        <f>IF(H21="","—",IF(OR(ISNUMBER(SEARCH("Fraud",H21)),ISNUMBER(SEARCH("Card Not Present",H21))),"T1 — Fraud / Card Not Present",IF(OR(ISNUMBER(SEARCH("Not Received",H21)),ISNUMBER(SEARCH("INR",H21))),"T2 — Item Not Received",IF(OR(ISNUMBER(SEARCH("Not as Described",H21)),ISNUMBER(SEARCH("SNAD",H21))),"T3 — Not as Described",IF(ISNUMBER(SEARCH("Credit",H21)),"T4 — Credit Not Processed",IF(ISNUMBER(SEARCH("Subscription",H21)),"T5 — Subscription Cancelled",IF(ISNUMBER(SEARCH("Digital",H21)),"T6 — Digital Goods Not Delivered",IF(OR(ISNUMBER(SEARCH("Amex",H21)),ISNUMBER(SEARCH("Inquiry",H21))),"T7 — Amex / Inquiry","T7 — General / Other"))))))))</f>
        <v/>
      </c>
      <c r="O21" s="85" t="n"/>
      <c r="P21" s="85" t="n"/>
      <c r="Q21" s="85" t="n"/>
      <c r="R21" s="85" t="n"/>
      <c r="S21" s="85" t="n"/>
      <c r="T21" s="85" t="n"/>
      <c r="U21" s="110" t="n"/>
      <c r="V21" s="85" t="n"/>
      <c r="W21" s="85" t="n"/>
      <c r="X21" s="204">
        <f>IF(V21="Win",I21-J21,IF(OR(V21="Accepted",V21="Withdrawn"),-J21,IF(V21="Loss",-I21-J21,"")))</f>
        <v/>
      </c>
      <c r="Y21" s="85" t="n"/>
      <c r="Z21" s="205">
        <f>IF(B21="","—",IF(AND(A21&lt;&gt;"",B21&lt;&gt;"",C21&lt;&gt;"",E21&lt;&gt;"",F21&lt;&gt;"",G21&lt;&gt;"",H21&lt;&gt;"",K21&lt;&gt;""),"✓ CLEAR","✗ BLOCKED"))</f>
        <v/>
      </c>
      <c r="AA21" s="206">
        <f>IF(B21="","—",IF(K21="Accept","N/A — Accepted",IF(AND(A21&lt;&gt;"",B21&lt;&gt;"",C21&lt;&gt;"",E21&lt;&gt;"",F21&lt;&gt;"",G21&lt;&gt;"",H21&lt;&gt;"",K21&lt;&gt;""),IF(S21="Yes","✓ CLEAR","✗ BLOCKED"),"— Checkpoint 1 first")))</f>
        <v/>
      </c>
      <c r="AB21" s="207">
        <f>IF(B21="","—",IF(K21="Accept","N/A — Accepted",IF(V21&lt;&gt;"","✓ RESOLVED: "&amp;V21,IF(T21&lt;&gt;"","✓ SUBMITTED",IF(S21="Yes","READY — submit now","✗ BLOCKED")))))</f>
        <v/>
      </c>
    </row>
    <row r="22" ht="58" customHeight="1">
      <c r="A22" s="83" t="n"/>
      <c r="B22" s="83" t="n"/>
      <c r="C22" s="83" t="n"/>
      <c r="D22" s="104">
        <f>IF(C22="","",C22-TODAY())</f>
        <v/>
      </c>
      <c r="E22" s="83" t="n"/>
      <c r="F22" s="83" t="n"/>
      <c r="G22" s="83" t="n"/>
      <c r="H22" s="83" t="n"/>
      <c r="I22" s="83" t="n"/>
      <c r="J22" s="83" t="n"/>
      <c r="K22" s="83" t="n"/>
      <c r="L22" s="105">
        <f>IF(B22="","→ Enter dispute details to begin",IF(K22="","→ Run Fight-or-Flight Calculator → enter decision in col K",IF(K22="Accept","✓ Accepted — log in Learning Loop if instructive",IF(V22&lt;&gt;"","✓ Resolved: "&amp;V22&amp;" — complete Learning Loop row",IF(T22&lt;&gt;"","→ Awaiting processor decision — monitor portal",IF(S22="Yes","→ Submit via "&amp;IF(E22="Stripe","Stripe Dashboard → Disputes",IF(E22="Shopify Payments","Shopify Admin → Orders → Chargebacks","PayPal Resolution Centre")),IF(AND(ISNUMBER(D22),D22&lt;=3),"⚠ URGENT: "&amp;D22&amp;" days left — submit NOW",IF(ISNUMBER(D22),"→ Gather evidence (col M) — "&amp;D22&amp;" days remaining","→ Gather evidence per checklist in col M"))))))))</f>
        <v/>
      </c>
      <c r="M22" s="106">
        <f>IF(H22="","—",IF(OR(ISNUMBER(SEARCH("Fraud",H22)),ISNUMBER(SEARCH("Card Not Present",H22))),"✦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Received",H22)),ISNUMBER(SEARCH("INR",H22))),"✦ Carrier proof of delivery (PDF)"&amp;CHAR(10)&amp;"✦ Tracking number + carrier"&amp;CHAR(10)&amp;"✦ Shipping confirmation email"&amp;CHAR(10)&amp;"✦ Order confirmation",IF(OR(ISNUMBER(SEARCH("Not as Described",H22)),ISNUMBER(SEARCH("SNAD",H22))),"✦ Product listing screenshot"&amp;CHAR(10)&amp;"✦ Order confirmation"&amp;CHAR(10)&amp;"✦ Product photos (as shipped)"&amp;CHAR(10)&amp;"✦ Customer support thread",IF(ISNUMBER(SEARCH("Credit",H22)),"✦ Refund confirmation + timestamp"&amp;CHAR(10)&amp;"✦ Order confirmation"&amp;CHAR(10)&amp;"✦ Customer communication",IF(ISNUMBER(SEARCH("Duplicate",H22)),"✦ Transaction records (single charge)"&amp;CHAR(10)&amp;"✦ Order confirmation"&amp;CHAR(10)&amp;"✦ Processor payment history",IF(ISNUMBER(SEARCH("Subscription",H22)),"✦ Subscription terms at sign-up"&amp;CHAR(10)&amp;"✦ Cancellation policy"&amp;CHAR(10)&amp;"✦ No cancellation received proof",IF(ISNUMBER(SEARCH("Digital",H22)),"✦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22" s="105">
        <f>IF(H22="","—",IF(OR(ISNUMBER(SEARCH("Fraud",H22)),ISNUMBER(SEARCH("Card Not Present",H22))),"T1 — Fraud / Card Not Present",IF(OR(ISNUMBER(SEARCH("Not Received",H22)),ISNUMBER(SEARCH("INR",H22))),"T2 — Item Not Received",IF(OR(ISNUMBER(SEARCH("Not as Described",H22)),ISNUMBER(SEARCH("SNAD",H22))),"T3 — Not as Described",IF(ISNUMBER(SEARCH("Credit",H22)),"T4 — Credit Not Processed",IF(ISNUMBER(SEARCH("Subscription",H22)),"T5 — Subscription Cancelled",IF(ISNUMBER(SEARCH("Digital",H22)),"T6 — Digital Goods Not Delivered",IF(OR(ISNUMBER(SEARCH("Amex",H22)),ISNUMBER(SEARCH("Inquiry",H22))),"T7 — Amex / Inquiry","T7 — General / Other"))))))))</f>
        <v/>
      </c>
      <c r="O22" s="83" t="n"/>
      <c r="P22" s="83" t="n"/>
      <c r="Q22" s="83" t="n"/>
      <c r="R22" s="83" t="n"/>
      <c r="S22" s="83" t="n"/>
      <c r="T22" s="83" t="n"/>
      <c r="U22" s="107" t="n"/>
      <c r="V22" s="83" t="n"/>
      <c r="W22" s="83" t="n"/>
      <c r="X22" s="156">
        <f>IF(V22="Win",I22-J22,IF(OR(V22="Accepted",V22="Withdrawn"),-J22,IF(V22="Loss",-I22-J22,"")))</f>
        <v/>
      </c>
      <c r="Y22" s="83" t="n"/>
      <c r="Z22" s="198">
        <f>IF(B22="","—",IF(AND(A22&lt;&gt;"",B22&lt;&gt;"",C22&lt;&gt;"",E22&lt;&gt;"",F22&lt;&gt;"",G22&lt;&gt;"",H22&lt;&gt;"",K22&lt;&gt;""),"✓ CLEAR","✗ BLOCKED"))</f>
        <v/>
      </c>
      <c r="AA22" s="199">
        <f>IF(B22="","—",IF(K22="Accept","N/A — Accepted",IF(AND(A22&lt;&gt;"",B22&lt;&gt;"",C22&lt;&gt;"",E22&lt;&gt;"",F22&lt;&gt;"",G22&lt;&gt;"",H22&lt;&gt;"",K22&lt;&gt;""),IF(S22="Yes","✓ CLEAR","✗ BLOCKED"),"— Checkpoint 1 first")))</f>
        <v/>
      </c>
      <c r="AB22" s="200">
        <f>IF(B22="","—",IF(K22="Accept","N/A — Accepted",IF(V22&lt;&gt;"","✓ RESOLVED: "&amp;V22,IF(T22&lt;&gt;"","✓ SUBMITTED",IF(S22="Yes","READY — submit now","✗ BLOCKED")))))</f>
        <v/>
      </c>
    </row>
    <row r="23" ht="58" customHeight="1">
      <c r="A23" s="85" t="n"/>
      <c r="B23" s="85" t="n"/>
      <c r="C23" s="85" t="n"/>
      <c r="D23" s="109">
        <f>IF(C23="","",C23-TODAY())</f>
        <v/>
      </c>
      <c r="E23" s="85" t="n"/>
      <c r="F23" s="85" t="n"/>
      <c r="G23" s="85" t="n"/>
      <c r="H23" s="85" t="n"/>
      <c r="I23" s="85" t="n"/>
      <c r="J23" s="85" t="n"/>
      <c r="K23" s="85" t="n"/>
      <c r="L23" s="105">
        <f>IF(B23="","→ Enter dispute details to begin",IF(K23="","→ Run Fight-or-Flight Calculator → enter decision in col K",IF(K23="Accept","✓ Accepted — log in Learning Loop if instructive",IF(V23&lt;&gt;"","✓ Resolved: "&amp;V23&amp;" — complete Learning Loop row",IF(T23&lt;&gt;"","→ Awaiting processor decision — monitor portal",IF(S23="Yes","→ Submit via "&amp;IF(E23="Stripe","Stripe Dashboard → Disputes",IF(E23="Shopify Payments","Shopify Admin → Orders → Chargebacks","PayPal Resolution Centre")),IF(AND(ISNUMBER(D23),D23&lt;=3),"⚠ URGENT: "&amp;D23&amp;" days left — submit NOW",IF(ISNUMBER(D23),"→ Gather evidence (col M) — "&amp;D23&amp;" days remaining","→ Gather evidence per checklist in col M"))))))))</f>
        <v/>
      </c>
      <c r="M23" s="106">
        <f>IF(H23="","—",IF(OR(ISNUMBER(SEARCH("Fraud",H23)),ISNUMBER(SEARCH("Card Not Present",H23))),"✦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Received",H23)),ISNUMBER(SEARCH("INR",H23))),"✦ Carrier proof of delivery (PDF)"&amp;CHAR(10)&amp;"✦ Tracking number + carrier"&amp;CHAR(10)&amp;"✦ Shipping confirmation email"&amp;CHAR(10)&amp;"✦ Order confirmation",IF(OR(ISNUMBER(SEARCH("Not as Described",H23)),ISNUMBER(SEARCH("SNAD",H23))),"✦ Product listing screenshot"&amp;CHAR(10)&amp;"✦ Order confirmation"&amp;CHAR(10)&amp;"✦ Product photos (as shipped)"&amp;CHAR(10)&amp;"✦ Customer support thread",IF(ISNUMBER(SEARCH("Credit",H23)),"✦ Refund confirmation + timestamp"&amp;CHAR(10)&amp;"✦ Order confirmation"&amp;CHAR(10)&amp;"✦ Customer communication",IF(ISNUMBER(SEARCH("Duplicate",H23)),"✦ Transaction records (single charge)"&amp;CHAR(10)&amp;"✦ Order confirmation"&amp;CHAR(10)&amp;"✦ Processor payment history",IF(ISNUMBER(SEARCH("Subscription",H23)),"✦ Subscription terms at sign-up"&amp;CHAR(10)&amp;"✦ Cancellation policy"&amp;CHAR(10)&amp;"✦ No cancellation received proof",IF(ISNUMBER(SEARCH("Digital",H23)),"✦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23" s="105">
        <f>IF(H23="","—",IF(OR(ISNUMBER(SEARCH("Fraud",H23)),ISNUMBER(SEARCH("Card Not Present",H23))),"T1 — Fraud / Card Not Present",IF(OR(ISNUMBER(SEARCH("Not Received",H23)),ISNUMBER(SEARCH("INR",H23))),"T2 — Item Not Received",IF(OR(ISNUMBER(SEARCH("Not as Described",H23)),ISNUMBER(SEARCH("SNAD",H23))),"T3 — Not as Described",IF(ISNUMBER(SEARCH("Credit",H23)),"T4 — Credit Not Processed",IF(ISNUMBER(SEARCH("Subscription",H23)),"T5 — Subscription Cancelled",IF(ISNUMBER(SEARCH("Digital",H23)),"T6 — Digital Goods Not Delivered",IF(OR(ISNUMBER(SEARCH("Amex",H23)),ISNUMBER(SEARCH("Inquiry",H23))),"T7 — Amex / Inquiry","T7 — General / Other"))))))))</f>
        <v/>
      </c>
      <c r="O23" s="85" t="n"/>
      <c r="P23" s="85" t="n"/>
      <c r="Q23" s="85" t="n"/>
      <c r="R23" s="85" t="n"/>
      <c r="S23" s="85" t="n"/>
      <c r="T23" s="85" t="n"/>
      <c r="U23" s="110" t="n"/>
      <c r="V23" s="85" t="n"/>
      <c r="W23" s="85" t="n"/>
      <c r="X23" s="204">
        <f>IF(V23="Win",I23-J23,IF(OR(V23="Accepted",V23="Withdrawn"),-J23,IF(V23="Loss",-I23-J23,"")))</f>
        <v/>
      </c>
      <c r="Y23" s="85" t="n"/>
      <c r="Z23" s="205">
        <f>IF(B23="","—",IF(AND(A23&lt;&gt;"",B23&lt;&gt;"",C23&lt;&gt;"",E23&lt;&gt;"",F23&lt;&gt;"",G23&lt;&gt;"",H23&lt;&gt;"",K23&lt;&gt;""),"✓ CLEAR","✗ BLOCKED"))</f>
        <v/>
      </c>
      <c r="AA23" s="206">
        <f>IF(B23="","—",IF(K23="Accept","N/A — Accepted",IF(AND(A23&lt;&gt;"",B23&lt;&gt;"",C23&lt;&gt;"",E23&lt;&gt;"",F23&lt;&gt;"",G23&lt;&gt;"",H23&lt;&gt;"",K23&lt;&gt;""),IF(S23="Yes","✓ CLEAR","✗ BLOCKED"),"— Checkpoint 1 first")))</f>
        <v/>
      </c>
      <c r="AB23" s="207">
        <f>IF(B23="","—",IF(K23="Accept","N/A — Accepted",IF(V23&lt;&gt;"","✓ RESOLVED: "&amp;V23,IF(T23&lt;&gt;"","✓ SUBMITTED",IF(S23="Yes","READY — submit now","✗ BLOCKED")))))</f>
        <v/>
      </c>
    </row>
    <row r="24" ht="58" customHeight="1">
      <c r="A24" s="83" t="n"/>
      <c r="B24" s="83" t="n"/>
      <c r="C24" s="83" t="n"/>
      <c r="D24" s="104">
        <f>IF(C24="","",C24-TODAY())</f>
        <v/>
      </c>
      <c r="E24" s="83" t="n"/>
      <c r="F24" s="83" t="n"/>
      <c r="G24" s="83" t="n"/>
      <c r="H24" s="83" t="n"/>
      <c r="I24" s="83" t="n"/>
      <c r="J24" s="83" t="n"/>
      <c r="K24" s="83" t="n"/>
      <c r="L24" s="105">
        <f>IF(B24="","→ Enter dispute details to begin",IF(K24="","→ Run Fight-or-Flight Calculator → enter decision in col K",IF(K24="Accept","✓ Accepted — log in Learning Loop if instructive",IF(V24&lt;&gt;"","✓ Resolved: "&amp;V24&amp;" — complete Learning Loop row",IF(T24&lt;&gt;"","→ Awaiting processor decision — monitor portal",IF(S24="Yes","→ Submit via "&amp;IF(E24="Stripe","Stripe Dashboard → Disputes",IF(E24="Shopify Payments","Shopify Admin → Orders → Chargebacks","PayPal Resolution Centre")),IF(AND(ISNUMBER(D24),D24&lt;=3),"⚠ URGENT: "&amp;D24&amp;" days left — submit NOW",IF(ISNUMBER(D24),"→ Gather evidence (col M) — "&amp;D24&amp;" days remaining","→ Gather evidence per checklist in col M"))))))))</f>
        <v/>
      </c>
      <c r="M24" s="106">
        <f>IF(H24="","—",IF(OR(ISNUMBER(SEARCH("Fraud",H24)),ISNUMBER(SEARCH("Card Not Present",H24))),"✦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Received",H24)),ISNUMBER(SEARCH("INR",H24))),"✦ Carrier proof of delivery (PDF)"&amp;CHAR(10)&amp;"✦ Tracking number + carrier"&amp;CHAR(10)&amp;"✦ Shipping confirmation email"&amp;CHAR(10)&amp;"✦ Order confirmation",IF(OR(ISNUMBER(SEARCH("Not as Described",H24)),ISNUMBER(SEARCH("SNAD",H24))),"✦ Product listing screenshot"&amp;CHAR(10)&amp;"✦ Order confirmation"&amp;CHAR(10)&amp;"✦ Product photos (as shipped)"&amp;CHAR(10)&amp;"✦ Customer support thread",IF(ISNUMBER(SEARCH("Credit",H24)),"✦ Refund confirmation + timestamp"&amp;CHAR(10)&amp;"✦ Order confirmation"&amp;CHAR(10)&amp;"✦ Customer communication",IF(ISNUMBER(SEARCH("Duplicate",H24)),"✦ Transaction records (single charge)"&amp;CHAR(10)&amp;"✦ Order confirmation"&amp;CHAR(10)&amp;"✦ Processor payment history",IF(ISNUMBER(SEARCH("Subscription",H24)),"✦ Subscription terms at sign-up"&amp;CHAR(10)&amp;"✦ Cancellation policy"&amp;CHAR(10)&amp;"✦ No cancellation received proof",IF(ISNUMBER(SEARCH("Digital",H24)),"✦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24" s="105">
        <f>IF(H24="","—",IF(OR(ISNUMBER(SEARCH("Fraud",H24)),ISNUMBER(SEARCH("Card Not Present",H24))),"T1 — Fraud / Card Not Present",IF(OR(ISNUMBER(SEARCH("Not Received",H24)),ISNUMBER(SEARCH("INR",H24))),"T2 — Item Not Received",IF(OR(ISNUMBER(SEARCH("Not as Described",H24)),ISNUMBER(SEARCH("SNAD",H24))),"T3 — Not as Described",IF(ISNUMBER(SEARCH("Credit",H24)),"T4 — Credit Not Processed",IF(ISNUMBER(SEARCH("Subscription",H24)),"T5 — Subscription Cancelled",IF(ISNUMBER(SEARCH("Digital",H24)),"T6 — Digital Goods Not Delivered",IF(OR(ISNUMBER(SEARCH("Amex",H24)),ISNUMBER(SEARCH("Inquiry",H24))),"T7 — Amex / Inquiry","T7 — General / Other"))))))))</f>
        <v/>
      </c>
      <c r="O24" s="83" t="n"/>
      <c r="P24" s="83" t="n"/>
      <c r="Q24" s="83" t="n"/>
      <c r="R24" s="83" t="n"/>
      <c r="S24" s="83" t="n"/>
      <c r="T24" s="83" t="n"/>
      <c r="U24" s="107" t="n"/>
      <c r="V24" s="83" t="n"/>
      <c r="W24" s="83" t="n"/>
      <c r="X24" s="156">
        <f>IF(V24="Win",I24-J24,IF(OR(V24="Accepted",V24="Withdrawn"),-J24,IF(V24="Loss",-I24-J24,"")))</f>
        <v/>
      </c>
      <c r="Y24" s="83" t="n"/>
      <c r="Z24" s="198">
        <f>IF(B24="","—",IF(AND(A24&lt;&gt;"",B24&lt;&gt;"",C24&lt;&gt;"",E24&lt;&gt;"",F24&lt;&gt;"",G24&lt;&gt;"",H24&lt;&gt;"",K24&lt;&gt;""),"✓ CLEAR","✗ BLOCKED"))</f>
        <v/>
      </c>
      <c r="AA24" s="199">
        <f>IF(B24="","—",IF(K24="Accept","N/A — Accepted",IF(AND(A24&lt;&gt;"",B24&lt;&gt;"",C24&lt;&gt;"",E24&lt;&gt;"",F24&lt;&gt;"",G24&lt;&gt;"",H24&lt;&gt;"",K24&lt;&gt;""),IF(S24="Yes","✓ CLEAR","✗ BLOCKED"),"— Checkpoint 1 first")))</f>
        <v/>
      </c>
      <c r="AB24" s="200">
        <f>IF(B24="","—",IF(K24="Accept","N/A — Accepted",IF(V24&lt;&gt;"","✓ RESOLVED: "&amp;V24,IF(T24&lt;&gt;"","✓ SUBMITTED",IF(S24="Yes","READY — submit now","✗ BLOCKED")))))</f>
        <v/>
      </c>
    </row>
    <row r="25" ht="58" customHeight="1">
      <c r="A25" s="85" t="n"/>
      <c r="B25" s="85" t="n"/>
      <c r="C25" s="85" t="n"/>
      <c r="D25" s="109">
        <f>IF(C25="","",C25-TODAY())</f>
        <v/>
      </c>
      <c r="E25" s="85" t="n"/>
      <c r="F25" s="85" t="n"/>
      <c r="G25" s="85" t="n"/>
      <c r="H25" s="85" t="n"/>
      <c r="I25" s="85" t="n"/>
      <c r="J25" s="85" t="n"/>
      <c r="K25" s="85" t="n"/>
      <c r="L25" s="105">
        <f>IF(B25="","→ Enter dispute details to begin",IF(K25="","→ Run Fight-or-Flight Calculator → enter decision in col K",IF(K25="Accept","✓ Accepted — log in Learning Loop if instructive",IF(V25&lt;&gt;"","✓ Resolved: "&amp;V25&amp;" — complete Learning Loop row",IF(T25&lt;&gt;"","→ Awaiting processor decision — monitor portal",IF(S25="Yes","→ Submit via "&amp;IF(E25="Stripe","Stripe Dashboard → Disputes",IF(E25="Shopify Payments","Shopify Admin → Orders → Chargebacks","PayPal Resolution Centre")),IF(AND(ISNUMBER(D25),D25&lt;=3),"⚠ URGENT: "&amp;D25&amp;" days left — submit NOW",IF(ISNUMBER(D25),"→ Gather evidence (col M) — "&amp;D25&amp;" days remaining","→ Gather evidence per checklist in col M"))))))))</f>
        <v/>
      </c>
      <c r="M25" s="106">
        <f>IF(H25="","—",IF(OR(ISNUMBER(SEARCH("Fraud",H25)),ISNUMBER(SEARCH("Card Not Present",H25))),"✦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Received",H25)),ISNUMBER(SEARCH("INR",H25))),"✦ Carrier proof of delivery (PDF)"&amp;CHAR(10)&amp;"✦ Tracking number + carrier"&amp;CHAR(10)&amp;"✦ Shipping confirmation email"&amp;CHAR(10)&amp;"✦ Order confirmation",IF(OR(ISNUMBER(SEARCH("Not as Described",H25)),ISNUMBER(SEARCH("SNAD",H25))),"✦ Product listing screenshot"&amp;CHAR(10)&amp;"✦ Order confirmation"&amp;CHAR(10)&amp;"✦ Product photos (as shipped)"&amp;CHAR(10)&amp;"✦ Customer support thread",IF(ISNUMBER(SEARCH("Credit",H25)),"✦ Refund confirmation + timestamp"&amp;CHAR(10)&amp;"✦ Order confirmation"&amp;CHAR(10)&amp;"✦ Customer communication",IF(ISNUMBER(SEARCH("Duplicate",H25)),"✦ Transaction records (single charge)"&amp;CHAR(10)&amp;"✦ Order confirmation"&amp;CHAR(10)&amp;"✦ Processor payment history",IF(ISNUMBER(SEARCH("Subscription",H25)),"✦ Subscription terms at sign-up"&amp;CHAR(10)&amp;"✦ Cancellation policy"&amp;CHAR(10)&amp;"✦ No cancellation received proof",IF(ISNUMBER(SEARCH("Digital",H25)),"✦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25" s="105">
        <f>IF(H25="","—",IF(OR(ISNUMBER(SEARCH("Fraud",H25)),ISNUMBER(SEARCH("Card Not Present",H25))),"T1 — Fraud / Card Not Present",IF(OR(ISNUMBER(SEARCH("Not Received",H25)),ISNUMBER(SEARCH("INR",H25))),"T2 — Item Not Received",IF(OR(ISNUMBER(SEARCH("Not as Described",H25)),ISNUMBER(SEARCH("SNAD",H25))),"T3 — Not as Described",IF(ISNUMBER(SEARCH("Credit",H25)),"T4 — Credit Not Processed",IF(ISNUMBER(SEARCH("Subscription",H25)),"T5 — Subscription Cancelled",IF(ISNUMBER(SEARCH("Digital",H25)),"T6 — Digital Goods Not Delivered",IF(OR(ISNUMBER(SEARCH("Amex",H25)),ISNUMBER(SEARCH("Inquiry",H25))),"T7 — Amex / Inquiry","T7 — General / Other"))))))))</f>
        <v/>
      </c>
      <c r="O25" s="85" t="n"/>
      <c r="P25" s="85" t="n"/>
      <c r="Q25" s="85" t="n"/>
      <c r="R25" s="85" t="n"/>
      <c r="S25" s="85" t="n"/>
      <c r="T25" s="85" t="n"/>
      <c r="U25" s="110" t="n"/>
      <c r="V25" s="85" t="n"/>
      <c r="W25" s="85" t="n"/>
      <c r="X25" s="204">
        <f>IF(V25="Win",I25-J25,IF(OR(V25="Accepted",V25="Withdrawn"),-J25,IF(V25="Loss",-I25-J25,"")))</f>
        <v/>
      </c>
      <c r="Y25" s="85" t="n"/>
      <c r="Z25" s="205">
        <f>IF(B25="","—",IF(AND(A25&lt;&gt;"",B25&lt;&gt;"",C25&lt;&gt;"",E25&lt;&gt;"",F25&lt;&gt;"",G25&lt;&gt;"",H25&lt;&gt;"",K25&lt;&gt;""),"✓ CLEAR","✗ BLOCKED"))</f>
        <v/>
      </c>
      <c r="AA25" s="206">
        <f>IF(B25="","—",IF(K25="Accept","N/A — Accepted",IF(AND(A25&lt;&gt;"",B25&lt;&gt;"",C25&lt;&gt;"",E25&lt;&gt;"",F25&lt;&gt;"",G25&lt;&gt;"",H25&lt;&gt;"",K25&lt;&gt;""),IF(S25="Yes","✓ CLEAR","✗ BLOCKED"),"— Checkpoint 1 first")))</f>
        <v/>
      </c>
      <c r="AB25" s="207">
        <f>IF(B25="","—",IF(K25="Accept","N/A — Accepted",IF(V25&lt;&gt;"","✓ RESOLVED: "&amp;V25,IF(T25&lt;&gt;"","✓ SUBMITTED",IF(S25="Yes","READY — submit now","✗ BLOCKED")))))</f>
        <v/>
      </c>
    </row>
    <row r="26" ht="58" customHeight="1">
      <c r="A26" s="83" t="n"/>
      <c r="B26" s="83" t="n"/>
      <c r="C26" s="83" t="n"/>
      <c r="D26" s="104">
        <f>IF(C26="","",C26-TODAY())</f>
        <v/>
      </c>
      <c r="E26" s="83" t="n"/>
      <c r="F26" s="83" t="n"/>
      <c r="G26" s="83" t="n"/>
      <c r="H26" s="83" t="n"/>
      <c r="I26" s="83" t="n"/>
      <c r="J26" s="83" t="n"/>
      <c r="K26" s="83" t="n"/>
      <c r="L26" s="105">
        <f>IF(B26="","→ Enter dispute details to begin",IF(K26="","→ Run Fight-or-Flight Calculator → enter decision in col K",IF(K26="Accept","✓ Accepted — log in Learning Loop if instructive",IF(V26&lt;&gt;"","✓ Resolved: "&amp;V26&amp;" — complete Learning Loop row",IF(T26&lt;&gt;"","→ Awaiting processor decision — monitor portal",IF(S26="Yes","→ Submit via "&amp;IF(E26="Stripe","Stripe Dashboard → Disputes",IF(E26="Shopify Payments","Shopify Admin → Orders → Chargebacks","PayPal Resolution Centre")),IF(AND(ISNUMBER(D26),D26&lt;=3),"⚠ URGENT: "&amp;D26&amp;" days left — submit NOW",IF(ISNUMBER(D26),"→ Gather evidence (col M) — "&amp;D26&amp;" days remaining","→ Gather evidence per checklist in col M"))))))))</f>
        <v/>
      </c>
      <c r="M26" s="106">
        <f>IF(H26="","—",IF(OR(ISNUMBER(SEARCH("Fraud",H26)),ISNUMBER(SEARCH("Card Not Present",H26))),"✦ IP address at checkout"&amp;CHAR(10)&amp;"✦ Device ID / fingerprint"&amp;CHAR(10)&amp;"✦ Prior transactions x2"&amp;CHAR(10)&amp;"✦ Delivery confirmation"&amp;CHAR(10)&amp;"✦ Order confirmation"&amp;CHAR(10)&amp;"✦ Customer activity log",IF(OR(ISNUMBER(SEARCH("Not Received",H26)),ISNUMBER(SEARCH("INR",H26))),"✦ Carrier proof of delivery (PDF)"&amp;CHAR(10)&amp;"✦ Tracking number + carrier"&amp;CHAR(10)&amp;"✦ Shipping confirmation email"&amp;CHAR(10)&amp;"✦ Order confirmation",IF(OR(ISNUMBER(SEARCH("Not as Described",H26)),ISNUMBER(SEARCH("SNAD",H26))),"✦ Product listing screenshot"&amp;CHAR(10)&amp;"✦ Order confirmation"&amp;CHAR(10)&amp;"✦ Product photos (as shipped)"&amp;CHAR(10)&amp;"✦ Customer support thread",IF(ISNUMBER(SEARCH("Credit",H26)),"✦ Refund confirmation + timestamp"&amp;CHAR(10)&amp;"✦ Order confirmation"&amp;CHAR(10)&amp;"✦ Customer communication",IF(ISNUMBER(SEARCH("Duplicate",H26)),"✦ Transaction records (single charge)"&amp;CHAR(10)&amp;"✦ Order confirmation"&amp;CHAR(10)&amp;"✦ Processor payment history",IF(ISNUMBER(SEARCH("Subscription",H26)),"✦ Subscription terms at sign-up"&amp;CHAR(10)&amp;"✦ Cancellation policy"&amp;CHAR(10)&amp;"✦ No cancellation received proof",IF(ISNUMBER(SEARCH("Digital",H26)),"✦ Digital delivery confirmation"&amp;CHAR(10)&amp;"✦ Access / usage logs"&amp;CHAR(10)&amp;"✦ Order confirmation","✦ Order confirmation"&amp;CHAR(10)&amp;"✦ Delivery confirmation"&amp;CHAR(10)&amp;"✦ Customer support thread"&amp;CHAR(10)&amp;"✦ Checkout terms screenshot"))))))))</f>
        <v/>
      </c>
      <c r="N26" s="105">
        <f>IF(H26="","—",IF(OR(ISNUMBER(SEARCH("Fraud",H26)),ISNUMBER(SEARCH("Card Not Present",H26))),"T1 — Fraud / Card Not Present",IF(OR(ISNUMBER(SEARCH("Not Received",H26)),ISNUMBER(SEARCH("INR",H26))),"T2 — Item Not Received",IF(OR(ISNUMBER(SEARCH("Not as Described",H26)),ISNUMBER(SEARCH("SNAD",H26))),"T3 — Not as Described",IF(ISNUMBER(SEARCH("Credit",H26)),"T4 — Credit Not Processed",IF(ISNUMBER(SEARCH("Subscription",H26)),"T5 — Subscription Cancelled",IF(ISNUMBER(SEARCH("Digital",H26)),"T6 — Digital Goods Not Delivered",IF(OR(ISNUMBER(SEARCH("Amex",H26)),ISNUMBER(SEARCH("Inquiry",H26))),"T7 — Amex / Inquiry","T7 — General / Other"))))))))</f>
        <v/>
      </c>
      <c r="O26" s="83" t="n"/>
      <c r="P26" s="83" t="n"/>
      <c r="Q26" s="83" t="n"/>
      <c r="R26" s="83" t="n"/>
      <c r="S26" s="83" t="n"/>
      <c r="T26" s="83" t="n"/>
      <c r="U26" s="107" t="n"/>
      <c r="V26" s="83" t="n"/>
      <c r="W26" s="83" t="n"/>
      <c r="X26" s="156">
        <f>IF(V26="Win",I26-J26,IF(OR(V26="Accepted",V26="Withdrawn"),-J26,IF(V26="Loss",-I26-J26,"")))</f>
        <v/>
      </c>
      <c r="Y26" s="83" t="n"/>
      <c r="Z26" s="198">
        <f>IF(B26="","—",IF(AND(A26&lt;&gt;"",B26&lt;&gt;"",C26&lt;&gt;"",E26&lt;&gt;"",F26&lt;&gt;"",G26&lt;&gt;"",H26&lt;&gt;"",K26&lt;&gt;""),"✓ CLEAR","✗ BLOCKED"))</f>
        <v/>
      </c>
      <c r="AA26" s="199">
        <f>IF(B26="","—",IF(K26="Accept","N/A — Accepted",IF(AND(A26&lt;&gt;"",B26&lt;&gt;"",C26&lt;&gt;"",E26&lt;&gt;"",F26&lt;&gt;"",G26&lt;&gt;"",H26&lt;&gt;"",K26&lt;&gt;""),IF(S26="Yes","✓ CLEAR","✗ BLOCKED"),"— Checkpoint 1 first")))</f>
        <v/>
      </c>
      <c r="AB26" s="200">
        <f>IF(B26="","—",IF(K26="Accept","N/A — Accepted",IF(V26&lt;&gt;"","✓ RESOLVED: "&amp;V26,IF(T26&lt;&gt;"","✓ SUBMITTED",IF(S26="Yes","READY — submit now","✗ BLOCKED")))))</f>
        <v/>
      </c>
    </row>
    <row r="27" ht="20" customHeight="1">
      <c r="A27" s="112" t="inlineStr">
        <is>
          <t>TOTALS / SUMMARY</t>
        </is>
      </c>
      <c r="B27" s="113" t="n"/>
      <c r="C27" s="113" t="n"/>
      <c r="D27" s="113" t="n"/>
      <c r="E27" s="113" t="n"/>
      <c r="F27" s="113" t="n"/>
      <c r="G27" s="113" t="n"/>
      <c r="H27" s="113" t="n"/>
      <c r="I27" s="114">
        <f>SUMIF(V6:V26,"&lt;&gt;Accept",I6:I26)</f>
        <v/>
      </c>
      <c r="J27" s="115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6" t="n"/>
      <c r="T27" s="117" t="n"/>
      <c r="U27" s="116" t="n"/>
      <c r="V27" s="118">
        <f>IF(COUNTIF(V6:V26,"Win")+COUNTIF(V6:V26,"Loss")=0,"—",COUNTIF(V6:V26,"Win")/(COUNTIF(V6:V26,"Win")+COUNTIF(V6:V26,"Loss")))</f>
        <v/>
      </c>
      <c r="W27" s="119" t="n"/>
      <c r="X27" s="120">
        <f>SUM(X6:X26)</f>
        <v/>
      </c>
      <c r="Y27" s="119" t="n"/>
    </row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</sheetData>
  <mergeCells count="3">
    <mergeCell ref="Z3:AB3"/>
    <mergeCell ref="A2:AB2"/>
    <mergeCell ref="A1:AB1"/>
  </mergeCells>
  <conditionalFormatting sqref="D6:D26">
    <cfRule type="cellIs" priority="1" operator="lessThanOrEqual" dxfId="0">
      <formula>3</formula>
    </cfRule>
    <cfRule type="cellIs" priority="2" operator="between" dxfId="1">
      <formula>4</formula>
      <formula>7</formula>
    </cfRule>
  </conditionalFormatting>
  <conditionalFormatting sqref="V6:V26">
    <cfRule type="expression" priority="3" dxfId="2">
      <formula>V6="Win"</formula>
    </cfRule>
    <cfRule type="expression" priority="4" dxfId="0">
      <formula>V6="Loss"</formula>
    </cfRule>
    <cfRule type="expression" priority="5" dxfId="1">
      <formula>OR(V6="Accepted",V6="Withdrawn")</formula>
    </cfRule>
  </conditionalFormatting>
  <conditionalFormatting sqref="A6:Y26">
    <cfRule type="expression" priority="6" dxfId="3">
      <formula>AND($D6&lt;=3,$D6&lt;&gt;"",$T6="")</formula>
    </cfRule>
  </conditionalFormatting>
  <conditionalFormatting sqref="Z6:Z26">
    <cfRule type="expression" priority="7" dxfId="5">
      <formula>Z6="✓ CLEAR"</formula>
    </cfRule>
    <cfRule type="expression" priority="8" dxfId="6">
      <formula>Z6="✗ BLOCKED"</formula>
    </cfRule>
    <cfRule type="expression" priority="9" dxfId="5">
      <formula>LEFT(Z6,2)="✓ "</formula>
    </cfRule>
    <cfRule type="expression" priority="10" dxfId="7">
      <formula>Z6="READY — submit now"</formula>
    </cfRule>
  </conditionalFormatting>
  <conditionalFormatting sqref="AA6:AA26">
    <cfRule type="expression" priority="11" dxfId="5">
      <formula>AA6="✓ CLEAR"</formula>
    </cfRule>
    <cfRule type="expression" priority="12" dxfId="6">
      <formula>AA6="✗ BLOCKED"</formula>
    </cfRule>
    <cfRule type="expression" priority="13" dxfId="5">
      <formula>LEFT(AA6,2)="✓ "</formula>
    </cfRule>
    <cfRule type="expression" priority="14" dxfId="7">
      <formula>AA6="READY — submit now"</formula>
    </cfRule>
  </conditionalFormatting>
  <conditionalFormatting sqref="AB6:AB26">
    <cfRule type="expression" priority="15" dxfId="5">
      <formula>AB6="✓ CLEAR"</formula>
    </cfRule>
    <cfRule type="expression" priority="16" dxfId="6">
      <formula>AB6="✗ BLOCKED"</formula>
    </cfRule>
    <cfRule type="expression" priority="17" dxfId="5">
      <formula>LEFT(AB6,2)="✓ "</formula>
    </cfRule>
    <cfRule type="expression" priority="18" dxfId="7">
      <formula>AB6="READY — submit now"</formula>
    </cfRule>
  </conditionalFormatting>
  <dataValidations count="10">
    <dataValidation sqref="E6:E26" showDropDown="0" showInputMessage="1" showErrorMessage="1" allowBlank="1" type="list">
      <formula1>"Stripe,Shopify Payments,PayPal"</formula1>
    </dataValidation>
    <dataValidation sqref="F6:F26" showDropDown="0" showInputMessage="1" showErrorMessage="1" allowBlank="1" type="list">
      <formula1>"Visa,Mastercard,Amex,Discover,PayPal Balance"</formula1>
    </dataValidation>
    <dataValidation sqref="P6:P26" showDropDown="0" showInputMessage="1" showErrorMessage="1" allowBlank="1" type="list">
      <formula1>"Yes,No,Partial"</formula1>
    </dataValidation>
    <dataValidation sqref="E6 E7 E8 E9 E10 E11 E12 E13 E14 E15 E16 E17 E18 E19 E20 E21 E22 E23 E24 E25 E26" showDropDown="0" showInputMessage="0" showErrorMessage="0" allowBlank="0" type="list">
      <formula1>"Stripe,Shopify Payments,PayPal"</formula1>
    </dataValidation>
    <dataValidation sqref="F6 F7 F8 F9 F10 F11 F12 F13 F14 F15 F16 F17 F18 F19 F20 F21 F22 F23 F24 F25 F26" showDropDown="0" showInputMessage="0" showErrorMessage="0" allowBlank="0" type="list">
      <formula1>"Visa,Mastercard,Amex,PayPal"</formula1>
    </dataValidation>
    <dataValidation sqref="S6 S7 S8 S9 S10 S11 S12 S13 S14 S15 S16 S17 S18 S19 S20 S21 S22 S23 S24 S25 S26" showDropDown="0" showInputMessage="0" showErrorMessage="0" allowBlank="0" type="list">
      <formula1>"Yes,No,Partial"</formula1>
    </dataValidation>
    <dataValidation sqref="V6 V7 V8 V9 V10 V11 V12 V13 V14 V15 V16 V17 V18 V19 V20 V21 V22 V23 V24 V25 V26" showDropDown="0" showInputMessage="0" showErrorMessage="0" allowBlank="0" type="list">
      <formula1>"Win,Loss,Accepted,Withdrawn,Pending"</formula1>
    </dataValidation>
    <dataValidation sqref="H6 H7 H8 H9 H10 H11 H12 H13 H14 H15 H16 H17 H18 H19 H20 H21 H22 H23 H24 H25 H26" showDropDown="0" showInputMessage="0" showErrorMessage="0" allowBlank="0" type="list">
      <formula1>"Fraud - Card Not Present,Item Not Received,Item Not as Described,Credit Not Processed,Subscription Cancelled,Digital Goods Not Delivered,Amex - Inquiry,Other / Unknown"</formula1>
    </dataValidation>
    <dataValidation sqref="O6:O26" showDropDown="0" showInputMessage="0" showErrorMessage="0" allowBlank="1" type="list">
      <formula1>"Yes,No,Partial,N/A"</formula1>
    </dataValidation>
    <dataValidation sqref="K6:K26" showDropDown="0" showInputMessage="0" showErrorMessage="0" allowBlank="1" type="list">
      <formula1>"Fight,Accept"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838F"/>
    <outlinePr summaryBelow="1" summaryRight="1"/>
    <pageSetUpPr/>
  </sheetPr>
  <dimension ref="A1:I37"/>
  <sheetViews>
    <sheetView showGridLines="0" workbookViewId="0">
      <pane ySplit="12" topLeftCell="A13" activePane="bottomLeft" state="frozen"/>
      <selection pane="bottomLeft" activeCell="H16" sqref="H16"/>
    </sheetView>
  </sheetViews>
  <sheetFormatPr baseColWidth="10" defaultColWidth="8.83203125" defaultRowHeight="15"/>
  <cols>
    <col width="12" customWidth="1" min="1" max="1"/>
    <col width="16" customWidth="1" min="2" max="2"/>
    <col width="13" customWidth="1" min="3" max="4"/>
    <col width="13" customWidth="1" min="4" max="4"/>
    <col width="11" customWidth="1" min="5" max="6"/>
    <col width="11" customWidth="1" min="6" max="6"/>
    <col width="10" customWidth="1" min="7" max="7"/>
    <col width="22" customWidth="1" min="8" max="9"/>
    <col width="20" customWidth="1" min="9" max="9"/>
    <col hidden="1" width="13" customWidth="1" min="10" max="1001"/>
  </cols>
  <sheetData>
    <row r="1" ht="26" customHeight="1">
      <c r="A1" s="187" t="inlineStr">
        <is>
          <t xml:space="preserve">  CHARGEBACK RATE MONITOR</t>
        </is>
      </c>
      <c r="B1" s="150" t="n"/>
      <c r="C1" s="150" t="n"/>
      <c r="D1" s="150" t="n"/>
      <c r="E1" s="150" t="n"/>
      <c r="F1" s="150" t="n"/>
      <c r="G1" s="150" t="n"/>
      <c r="H1" s="150" t="n"/>
      <c r="I1" s="149" t="n"/>
    </row>
    <row r="2" ht="18" customHeight="1">
      <c r="A2" s="188" t="inlineStr">
        <is>
          <t xml:space="preserve">  Track your monthly dispute rate vs. processor thresholds. Update monthly. Watch the trend.</t>
        </is>
      </c>
      <c r="B2" s="150" t="n"/>
      <c r="C2" s="150" t="n"/>
      <c r="D2" s="150" t="n"/>
      <c r="E2" s="150" t="n"/>
      <c r="F2" s="150" t="n"/>
      <c r="G2" s="150" t="n"/>
      <c r="H2" s="150" t="n"/>
      <c r="I2" s="149" t="n"/>
    </row>
    <row r="3" ht="8" customHeight="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</row>
    <row r="4" ht="22" customHeight="1">
      <c r="A4" s="208" t="inlineStr">
        <is>
          <t>PROCESSOR THRESHOLDS — REFERENCE</t>
        </is>
      </c>
      <c r="B4" s="150" t="n"/>
      <c r="C4" s="150" t="n"/>
      <c r="D4" s="149" t="n"/>
      <c r="E4" s="98" t="n"/>
      <c r="F4" s="98" t="n"/>
      <c r="G4" s="98" t="n"/>
      <c r="H4" s="98" t="n"/>
      <c r="I4" s="98" t="n"/>
    </row>
    <row r="5" ht="18" customHeight="1">
      <c r="A5" s="154" t="inlineStr">
        <is>
          <t>PROCESSOR</t>
        </is>
      </c>
      <c r="B5" s="154" t="inlineStr">
        <is>
          <t>HARD THRESHOLD</t>
        </is>
      </c>
      <c r="C5" s="154" t="inlineStr">
        <is>
          <t>WARNING ZONE</t>
        </is>
      </c>
      <c r="D5" s="154" t="inlineStr">
        <is>
          <t>CONSEQUENCE</t>
        </is>
      </c>
      <c r="E5" s="98" t="n"/>
      <c r="F5" s="98" t="n"/>
      <c r="G5" s="98" t="n"/>
      <c r="H5" s="98" t="n"/>
      <c r="I5" s="98" t="n"/>
    </row>
    <row r="6" ht="18" customHeight="1">
      <c r="A6" s="155" t="inlineStr">
        <is>
          <t>Stripe</t>
        </is>
      </c>
      <c r="B6" s="156" t="inlineStr">
        <is>
          <t>1.0%</t>
        </is>
      </c>
      <c r="C6" s="156" t="inlineStr">
        <is>
          <t>0.75%</t>
        </is>
      </c>
      <c r="D6" s="83" t="inlineStr">
        <is>
          <t>Flag + review. Risk of account termination.</t>
        </is>
      </c>
      <c r="E6" s="98" t="n"/>
      <c r="F6" s="98" t="n"/>
      <c r="G6" s="98" t="n"/>
      <c r="H6" s="98" t="n"/>
      <c r="I6" s="98" t="n"/>
    </row>
    <row r="7" ht="18" customHeight="1">
      <c r="A7" s="157" t="inlineStr">
        <is>
          <t>Shopify Payments</t>
        </is>
      </c>
      <c r="B7" s="204" t="inlineStr">
        <is>
          <t>2.0%</t>
        </is>
      </c>
      <c r="C7" s="204" t="inlineStr">
        <is>
          <t>1.5%</t>
        </is>
      </c>
      <c r="D7" s="85" t="inlineStr">
        <is>
          <t>Review. Potential payout restriction.</t>
        </is>
      </c>
      <c r="E7" s="98" t="n"/>
      <c r="F7" s="98" t="n"/>
      <c r="G7" s="98" t="n"/>
      <c r="H7" s="98" t="n"/>
      <c r="I7" s="98" t="n"/>
    </row>
    <row r="8" ht="18" customHeight="1">
      <c r="A8" s="155" t="inlineStr">
        <is>
          <t>PayPal</t>
        </is>
      </c>
      <c r="B8" s="156" t="inlineStr">
        <is>
          <t>~1.0%</t>
        </is>
      </c>
      <c r="C8" s="156" t="inlineStr">
        <is>
          <t>~0.75%</t>
        </is>
      </c>
      <c r="D8" s="83" t="inlineStr">
        <is>
          <t>Account limitations. Varies by history.</t>
        </is>
      </c>
      <c r="E8" s="98" t="n"/>
      <c r="F8" s="98" t="n"/>
      <c r="G8" s="98" t="n"/>
      <c r="H8" s="98" t="n"/>
      <c r="I8" s="98" t="n"/>
    </row>
    <row r="9" ht="16" customHeight="1">
      <c r="A9" s="159" t="inlineStr">
        <is>
          <t>Verify current thresholds at your processor portal — these change.</t>
        </is>
      </c>
      <c r="B9" s="150" t="n"/>
      <c r="C9" s="150" t="n"/>
      <c r="D9" s="149" t="n"/>
      <c r="E9" s="128" t="n"/>
      <c r="F9" s="128" t="n"/>
      <c r="G9" s="128" t="n"/>
      <c r="H9" s="128" t="n"/>
      <c r="I9" s="128" t="n"/>
    </row>
    <row r="10" ht="22" customHeight="1">
      <c r="A10" s="129" t="n"/>
      <c r="B10" s="124" t="n"/>
      <c r="C10" s="130" t="n"/>
      <c r="D10" s="130" t="n"/>
      <c r="E10" s="131" t="n"/>
      <c r="F10" s="132" t="n"/>
      <c r="G10" s="133" t="n"/>
      <c r="H10" s="129" t="n"/>
      <c r="I10" s="87" t="n"/>
    </row>
    <row r="11" ht="18" customHeight="1">
      <c r="A11" s="208" t="inlineStr">
        <is>
          <t>MONTHLY LOG — Update each month</t>
        </is>
      </c>
      <c r="B11" s="150" t="n"/>
      <c r="C11" s="150" t="n"/>
      <c r="D11" s="150" t="n"/>
      <c r="E11" s="150" t="n"/>
      <c r="F11" s="150" t="n"/>
      <c r="G11" s="150" t="n"/>
      <c r="H11" s="150" t="n"/>
      <c r="I11" s="149" t="n"/>
    </row>
    <row r="12" ht="34" customHeight="1">
      <c r="A12" s="103" t="inlineStr">
        <is>
          <t>MONTH</t>
        </is>
      </c>
      <c r="B12" s="103" t="inlineStr">
        <is>
          <t>PROCESSOR</t>
        </is>
      </c>
      <c r="C12" s="162" t="inlineStr">
        <is>
          <t>TRANSACTIONS
PROCESSED</t>
        </is>
      </c>
      <c r="D12" s="162" t="inlineStr">
        <is>
          <t>CHARGEBACKS
RECEIVED</t>
        </is>
      </c>
      <c r="E12" s="163" t="inlineStr">
        <is>
          <t>DISPUTE RATE
(auto)</t>
        </is>
      </c>
      <c r="F12" s="164" t="inlineStr">
        <is>
          <t>THRESHOLD
FOR PROCESSOR</t>
        </is>
      </c>
      <c r="G12" s="103" t="inlineStr">
        <is>
          <t>STATUS
(auto)</t>
        </is>
      </c>
      <c r="H12" s="103" t="inlineStr">
        <is>
          <t>CHARGEBACKS TO
BREACH (auto)</t>
        </is>
      </c>
      <c r="I12" s="103" t="inlineStr">
        <is>
          <t>NOTES</t>
        </is>
      </c>
    </row>
    <row r="13" ht="20" customHeight="1">
      <c r="A13" s="165" t="inlineStr">
        <is>
          <t>Jan 2025</t>
        </is>
      </c>
      <c r="B13" s="165" t="inlineStr">
        <is>
          <t>Stripe</t>
        </is>
      </c>
      <c r="C13" s="166" t="n">
        <v>3240</v>
      </c>
      <c r="D13" s="166" t="n">
        <v>18</v>
      </c>
      <c r="E13" s="167">
        <f>IF(C13=0,0,D13/C13)</f>
        <v/>
      </c>
      <c r="F13" s="168" t="n">
        <v>0.01</v>
      </c>
      <c r="G13" s="169">
        <f>IF(OR(F13="",E13=""),"",IF(E13&gt;=F13,"BREACH",IF(E13&gt;=F13*0.75,"WARNING","OK")))</f>
        <v/>
      </c>
      <c r="H13" s="83">
        <f>IF(OR(F13="",C13=0),"",IF(E13&gt;=F13,"Already breached",ROUND((F13-E13)*C13,0)&amp;" more chargebacks"))</f>
        <v/>
      </c>
      <c r="I13" s="83" t="n"/>
    </row>
    <row r="14" ht="20" customHeight="1">
      <c r="A14" s="203" t="inlineStr">
        <is>
          <t>Jan 2025</t>
        </is>
      </c>
      <c r="B14" s="203" t="inlineStr">
        <is>
          <t>Shopify Payments</t>
        </is>
      </c>
      <c r="C14" s="171" t="n">
        <v>890</v>
      </c>
      <c r="D14" s="171" t="n">
        <v>6</v>
      </c>
      <c r="E14" s="172">
        <f>IF(C14=0,0,D14/C14)</f>
        <v/>
      </c>
      <c r="F14" s="173" t="n">
        <v>0.02</v>
      </c>
      <c r="G14" s="174">
        <f>IF(OR(F14="",E14=""),"",IF(E14&gt;=F14,"BREACH",IF(E14&gt;=F14*0.75,"WARNING","OK")))</f>
        <v/>
      </c>
      <c r="H14" s="85">
        <f>IF(OR(F14="",C14=0),"",IF(E14&gt;=F14,"Already breached",ROUND((F14-E14)*C14,0)&amp;" more chargebacks"))</f>
        <v/>
      </c>
      <c r="I14" s="85" t="n"/>
    </row>
    <row r="15" ht="20" customHeight="1">
      <c r="A15" s="165" t="inlineStr">
        <is>
          <t>Feb 2025</t>
        </is>
      </c>
      <c r="B15" s="165" t="inlineStr">
        <is>
          <t>Stripe</t>
        </is>
      </c>
      <c r="C15" s="166" t="n">
        <v>3510</v>
      </c>
      <c r="D15" s="166" t="n">
        <v>21</v>
      </c>
      <c r="E15" s="167">
        <f>IF(C15=0,0,D15/C15)</f>
        <v/>
      </c>
      <c r="F15" s="168" t="n">
        <v>0.01</v>
      </c>
      <c r="G15" s="169">
        <f>IF(OR(F15="",E15=""),"",IF(E15&gt;=F15,"BREACH",IF(E15&gt;=F15*0.75,"WARNING","OK")))</f>
        <v/>
      </c>
      <c r="H15" s="83">
        <f>IF(OR(F15="",C15=0),"",IF(E15&gt;=F15,"Already breached",ROUND((F15-E15)*C15,0)&amp;" more chargebacks"))</f>
        <v/>
      </c>
      <c r="I15" s="83" t="n"/>
    </row>
    <row r="16" ht="20" customHeight="1">
      <c r="A16" s="203" t="inlineStr">
        <is>
          <t>Feb 2025</t>
        </is>
      </c>
      <c r="B16" s="203" t="inlineStr">
        <is>
          <t>Shopify Payments</t>
        </is>
      </c>
      <c r="C16" s="175" t="n">
        <v>920</v>
      </c>
      <c r="D16" s="175" t="n">
        <v>8</v>
      </c>
      <c r="E16" s="172">
        <f>IF(C16=0,0,D16/C16)</f>
        <v/>
      </c>
      <c r="F16" s="173" t="n">
        <v>0.02</v>
      </c>
      <c r="G16" s="174">
        <f>IF(OR(F16="",E16=""),"",IF(E16&gt;=F16,"BREACH",IF(E16&gt;=F16*0.75,"WARNING","OK")))</f>
        <v/>
      </c>
      <c r="H16" s="85">
        <f>IF(OR(F16="",C16=0),"",IF(E16&gt;=F16,"Already breached",ROUND((F16-E16)*C16,0)&amp;" more chargebacks"))</f>
        <v/>
      </c>
      <c r="I16" s="85" t="n"/>
    </row>
    <row r="17" ht="20" customHeight="1">
      <c r="A17" s="165" t="inlineStr">
        <is>
          <t>Mar 2025</t>
        </is>
      </c>
      <c r="B17" s="165" t="inlineStr">
        <is>
          <t>Stripe</t>
        </is>
      </c>
      <c r="C17" s="176" t="n">
        <v>3780</v>
      </c>
      <c r="D17" s="176" t="n">
        <v>29</v>
      </c>
      <c r="E17" s="167">
        <f>IF(C17=0,0,D17/C17)</f>
        <v/>
      </c>
      <c r="F17" s="168" t="n">
        <v>0.01</v>
      </c>
      <c r="G17" s="169">
        <f>IF(OR(F17="",E17=""),"",IF(E17&gt;=F17,"BREACH",IF(E17&gt;=F17*0.75,"WARNING","OK")))</f>
        <v/>
      </c>
      <c r="H17" s="83">
        <f>IF(OR(F17="",C17=0),"",IF(E17&gt;=F17,"Already breached",ROUND((F17-E17)*C17,0)&amp;" more chargebacks"))</f>
        <v/>
      </c>
      <c r="I17" s="83" t="n"/>
    </row>
    <row r="18" ht="20" customHeight="1">
      <c r="A18" s="203" t="inlineStr">
        <is>
          <t>Mar 2025</t>
        </is>
      </c>
      <c r="B18" s="203" t="inlineStr">
        <is>
          <t>Shopify Payments</t>
        </is>
      </c>
      <c r="C18" s="175" t="n">
        <v>1020</v>
      </c>
      <c r="D18" s="175" t="n">
        <v>11</v>
      </c>
      <c r="E18" s="172">
        <f>IF(C18=0,0,D18/C18)</f>
        <v/>
      </c>
      <c r="F18" s="173" t="n">
        <v>0.02</v>
      </c>
      <c r="G18" s="174">
        <f>IF(OR(F18="",E18=""),"",IF(E18&gt;=F18,"BREACH",IF(E18&gt;=F18*0.75,"WARNING","OK")))</f>
        <v/>
      </c>
      <c r="H18" s="85">
        <f>IF(OR(F18="",C18=0),"",IF(E18&gt;=F18,"Already breached",ROUND((F18-E18)*C18,0)&amp;" more chargebacks"))</f>
        <v/>
      </c>
      <c r="I18" s="85" t="n"/>
    </row>
    <row r="19" ht="20" customHeight="1">
      <c r="A19" s="165" t="n"/>
      <c r="B19" s="165" t="n"/>
      <c r="C19" s="176" t="n"/>
      <c r="D19" s="176" t="n"/>
      <c r="E19" s="167">
        <f>IF(C19=0,0,D19/C19)</f>
        <v/>
      </c>
      <c r="F19" s="176" t="n"/>
      <c r="G19" s="169">
        <f>IF(OR(F19="",E19=""),"",IF(E19&gt;=F19,"BREACH",IF(E19&gt;=F19*0.75,"WARNING","OK")))</f>
        <v/>
      </c>
      <c r="H19" s="83">
        <f>IF(OR(F19="",C19=0),"",IF(E19&gt;=F19,"Already breached",ROUND((F19-E19)*C19,0)&amp;" more chargebacks"))</f>
        <v/>
      </c>
      <c r="I19" s="165" t="n"/>
    </row>
    <row r="20" ht="20" customHeight="1">
      <c r="A20" s="203" t="n"/>
      <c r="B20" s="203" t="n"/>
      <c r="C20" s="175" t="n"/>
      <c r="D20" s="175" t="n"/>
      <c r="E20" s="172">
        <f>IF(C20=0,0,D20/C20)</f>
        <v/>
      </c>
      <c r="F20" s="175" t="n"/>
      <c r="G20" s="174">
        <f>IF(OR(F20="",E20=""),"",IF(E20&gt;=F20,"BREACH",IF(E20&gt;=F20*0.75,"WARNING","OK")))</f>
        <v/>
      </c>
      <c r="H20" s="85">
        <f>IF(OR(F20="",C20=0),"",IF(E20&gt;=F20,"Already breached",ROUND((F20-E20)*C20,0)&amp;" more chargebacks"))</f>
        <v/>
      </c>
      <c r="I20" s="203" t="n"/>
    </row>
    <row r="21" ht="20" customHeight="1">
      <c r="A21" s="165" t="n"/>
      <c r="B21" s="165" t="n"/>
      <c r="C21" s="176" t="n"/>
      <c r="D21" s="176" t="n"/>
      <c r="E21" s="167">
        <f>IF(C21=0,0,D21/C21)</f>
        <v/>
      </c>
      <c r="F21" s="176" t="n"/>
      <c r="G21" s="169">
        <f>IF(OR(F21="",E21=""),"",IF(E21&gt;=F21,"BREACH",IF(E21&gt;=F21*0.75,"WARNING","OK")))</f>
        <v/>
      </c>
      <c r="H21" s="83">
        <f>IF(OR(F21="",C21=0),"",IF(E21&gt;=F21,"Already breached",ROUND((F21-E21)*C21,0)&amp;" more chargebacks"))</f>
        <v/>
      </c>
      <c r="I21" s="165" t="n"/>
    </row>
    <row r="22" ht="20" customHeight="1">
      <c r="A22" s="203" t="n"/>
      <c r="B22" s="203" t="n"/>
      <c r="C22" s="175" t="n"/>
      <c r="D22" s="175" t="n"/>
      <c r="E22" s="172">
        <f>IF(C22=0,0,D22/C22)</f>
        <v/>
      </c>
      <c r="F22" s="175" t="n"/>
      <c r="G22" s="174">
        <f>IF(OR(F22="",E22=""),"",IF(E22&gt;=F22,"BREACH",IF(E22&gt;=F22*0.75,"WARNING","OK")))</f>
        <v/>
      </c>
      <c r="H22" s="85">
        <f>IF(OR(F22="",C22=0),"",IF(E22&gt;=F22,"Already breached",ROUND((F22-E22)*C22,0)&amp;" more chargebacks"))</f>
        <v/>
      </c>
      <c r="I22" s="203" t="n"/>
    </row>
    <row r="23" ht="20" customHeight="1">
      <c r="A23" s="165" t="n"/>
      <c r="B23" s="165" t="n"/>
      <c r="C23" s="176" t="n"/>
      <c r="D23" s="176" t="n"/>
      <c r="E23" s="167">
        <f>IF(C23=0,0,D23/C23)</f>
        <v/>
      </c>
      <c r="F23" s="176" t="n"/>
      <c r="G23" s="169">
        <f>IF(OR(F23="",E23=""),"",IF(E23&gt;=F23,"BREACH",IF(E23&gt;=F23*0.75,"WARNING","OK")))</f>
        <v/>
      </c>
      <c r="H23" s="83">
        <f>IF(OR(F23="",C23=0),"",IF(E23&gt;=F23,"Already breached",ROUND((F23-E23)*C23,0)&amp;" more chargebacks"))</f>
        <v/>
      </c>
      <c r="I23" s="165" t="n"/>
    </row>
    <row r="24" ht="20" customHeight="1">
      <c r="A24" s="203" t="n"/>
      <c r="B24" s="203" t="n"/>
      <c r="C24" s="175" t="n"/>
      <c r="D24" s="175" t="n"/>
      <c r="E24" s="172">
        <f>IF(C24=0,0,D24/C24)</f>
        <v/>
      </c>
      <c r="F24" s="175" t="n"/>
      <c r="G24" s="174">
        <f>IF(OR(F24="",E24=""),"",IF(E24&gt;=F24,"BREACH",IF(E24&gt;=F24*0.75,"WARNING","OK")))</f>
        <v/>
      </c>
      <c r="H24" s="85">
        <f>IF(OR(F24="",C24=0),"",IF(E24&gt;=F24,"Already breached",ROUND((F24-E24)*C24,0)&amp;" more chargebacks"))</f>
        <v/>
      </c>
      <c r="I24" s="203" t="n"/>
    </row>
    <row r="25" ht="20" customHeight="1">
      <c r="A25" s="165" t="n"/>
      <c r="B25" s="165" t="n"/>
      <c r="C25" s="176" t="n"/>
      <c r="D25" s="176" t="n"/>
      <c r="E25" s="167">
        <f>IF(C25=0,0,D25/C25)</f>
        <v/>
      </c>
      <c r="F25" s="176" t="n"/>
      <c r="G25" s="169">
        <f>IF(OR(F25="",E25=""),"",IF(E25&gt;=F25,"BREACH",IF(E25&gt;=F25*0.75,"WARNING","OK")))</f>
        <v/>
      </c>
      <c r="H25" s="83">
        <f>IF(OR(F25="",C25=0),"",IF(E25&gt;=F25,"Already breached",ROUND((F25-E25)*C25,0)&amp;" more chargebacks"))</f>
        <v/>
      </c>
      <c r="I25" s="165" t="n"/>
    </row>
    <row r="26" ht="20" customHeight="1">
      <c r="A26" s="203" t="n"/>
      <c r="B26" s="203" t="n"/>
      <c r="C26" s="175" t="n"/>
      <c r="D26" s="175" t="n"/>
      <c r="E26" s="172">
        <f>IF(C26=0,0,D26/C26)</f>
        <v/>
      </c>
      <c r="F26" s="175" t="n"/>
      <c r="G26" s="174">
        <f>IF(OR(F26="",E26=""),"",IF(E26&gt;=F26,"BREACH",IF(E26&gt;=F26*0.75,"WARNING","OK")))</f>
        <v/>
      </c>
      <c r="H26" s="85">
        <f>IF(OR(F26="",C26=0),"",IF(E26&gt;=F26,"Already breached",ROUND((F26-E26)*C26,0)&amp;" more chargebacks"))</f>
        <v/>
      </c>
      <c r="I26" s="203" t="n"/>
    </row>
    <row r="27" ht="20" customHeight="1">
      <c r="A27" s="165" t="n"/>
      <c r="B27" s="165" t="n"/>
      <c r="C27" s="176" t="n"/>
      <c r="D27" s="176" t="n"/>
      <c r="E27" s="167">
        <f>IF(C27=0,0,D27/C27)</f>
        <v/>
      </c>
      <c r="F27" s="176" t="n"/>
      <c r="G27" s="169">
        <f>IF(OR(F27="",E27=""),"",IF(E27&gt;=F27,"BREACH",IF(E27&gt;=F27*0.75,"WARNING","OK")))</f>
        <v/>
      </c>
      <c r="H27" s="83">
        <f>IF(OR(F27="",C27=0),"",IF(E27&gt;=F27,"Already breached",ROUND((F27-E27)*C27,0)&amp;" more chargebacks"))</f>
        <v/>
      </c>
      <c r="I27" s="165" t="n"/>
    </row>
    <row r="28" ht="20" customHeight="1">
      <c r="A28" s="203" t="n"/>
      <c r="B28" s="203" t="n"/>
      <c r="C28" s="175" t="n"/>
      <c r="D28" s="175" t="n"/>
      <c r="E28" s="172">
        <f>IF(C28=0,0,D28/C28)</f>
        <v/>
      </c>
      <c r="F28" s="175" t="n"/>
      <c r="G28" s="174">
        <f>IF(OR(F28="",E28=""),"",IF(E28&gt;=F28,"BREACH",IF(E28&gt;=F28*0.75,"WARNING","OK")))</f>
        <v/>
      </c>
      <c r="H28" s="85">
        <f>IF(OR(F28="",C28=0),"",IF(E28&gt;=F28,"Already breached",ROUND((F28-E28)*C28,0)&amp;" more chargebacks"))</f>
        <v/>
      </c>
      <c r="I28" s="203" t="n"/>
    </row>
    <row r="29" ht="20" customHeight="1">
      <c r="A29" s="165" t="n"/>
      <c r="B29" s="165" t="n"/>
      <c r="C29" s="176" t="n"/>
      <c r="D29" s="176" t="n"/>
      <c r="E29" s="167">
        <f>IF(C29=0,0,D29/C29)</f>
        <v/>
      </c>
      <c r="F29" s="176" t="n"/>
      <c r="G29" s="169">
        <f>IF(OR(F29="",E29=""),"",IF(E29&gt;=F29,"BREACH",IF(E29&gt;=F29*0.75,"WARNING","OK")))</f>
        <v/>
      </c>
      <c r="H29" s="83">
        <f>IF(OR(F29="",C29=0),"",IF(E29&gt;=F29,"Already breached",ROUND((F29-E29)*C29,0)&amp;" more chargebacks"))</f>
        <v/>
      </c>
      <c r="I29" s="165" t="n"/>
    </row>
    <row r="30" ht="20" customHeight="1">
      <c r="A30" s="203" t="n"/>
      <c r="B30" s="203" t="n"/>
      <c r="C30" s="175" t="n"/>
      <c r="D30" s="175" t="n"/>
      <c r="E30" s="172">
        <f>IF(C30=0,0,D30/C30)</f>
        <v/>
      </c>
      <c r="F30" s="175" t="n"/>
      <c r="G30" s="174">
        <f>IF(OR(F30="",E30=""),"",IF(E30&gt;=F30,"BREACH",IF(E30&gt;=F30*0.75,"WARNING","OK")))</f>
        <v/>
      </c>
      <c r="H30" s="85">
        <f>IF(OR(F30="",C30=0),"",IF(E30&gt;=F30,"Already breached",ROUND((F30-E30)*C30,0)&amp;" more chargebacks"))</f>
        <v/>
      </c>
      <c r="I30" s="203" t="n"/>
    </row>
    <row r="31" hidden="1" ht="20" customHeight="1">
      <c r="A31" s="165" t="n"/>
      <c r="B31" s="165" t="n"/>
      <c r="C31" s="176" t="n"/>
      <c r="D31" s="176" t="n"/>
      <c r="E31" s="167">
        <f>IF(C31=0,0,D31/C31)</f>
        <v/>
      </c>
      <c r="F31" s="176" t="n"/>
      <c r="G31" s="169">
        <f>IF(OR(F31="",E31=""),"",IF(E31&gt;=F31,"BREACH",IF(E31&gt;=F31*0.75,"WARNING","OK")))</f>
        <v/>
      </c>
      <c r="H31" s="83">
        <f>IF(OR(F31="",C31=0),"",IF(E31&gt;=F31,"Already breached",ROUND((F31-E31)*C31,0)&amp;" more chargebacks"))</f>
        <v/>
      </c>
      <c r="I31" s="165" t="n"/>
    </row>
    <row r="32" hidden="1" ht="20" customHeight="1">
      <c r="A32" s="203" t="n"/>
      <c r="B32" s="203" t="n"/>
      <c r="C32" s="175" t="n"/>
      <c r="D32" s="175" t="n"/>
      <c r="E32" s="172">
        <f>IF(C32=0,0,D32/C32)</f>
        <v/>
      </c>
      <c r="F32" s="175" t="n"/>
      <c r="G32" s="174">
        <f>IF(OR(F32="",E32=""),"",IF(E32&gt;=F32,"BREACH",IF(E32&gt;=F32*0.75,"WARNING","OK")))</f>
        <v/>
      </c>
      <c r="H32" s="85">
        <f>IF(OR(F32="",C32=0),"",IF(E32&gt;=F32,"Already breached",ROUND((F32-E32)*C32,0)&amp;" more chargebacks"))</f>
        <v/>
      </c>
      <c r="I32" s="203" t="n"/>
    </row>
    <row r="33" hidden="1"/>
    <row r="34" hidden="1" ht="16" customHeight="1">
      <c r="A34" s="208" t="inlineStr">
        <is>
          <t>STATUS LEGEND</t>
        </is>
      </c>
      <c r="B34" s="150" t="n"/>
      <c r="C34" s="150" t="n"/>
      <c r="D34" s="150" t="n"/>
      <c r="E34" s="150" t="n"/>
      <c r="F34" s="150" t="n"/>
      <c r="G34" s="150" t="n"/>
      <c r="H34" s="150" t="n"/>
      <c r="I34" s="149" t="n"/>
    </row>
    <row r="35" hidden="1" ht="18" customHeight="1">
      <c r="A35" s="177" t="inlineStr">
        <is>
          <t>OK</t>
        </is>
      </c>
      <c r="B35" s="178" t="inlineStr">
        <is>
          <t>Below warning zone — rate is healthy</t>
        </is>
      </c>
      <c r="C35" s="150" t="n"/>
      <c r="D35" s="150" t="n"/>
      <c r="E35" s="150" t="n"/>
      <c r="F35" s="150" t="n"/>
      <c r="G35" s="150" t="n"/>
      <c r="H35" s="150" t="n"/>
      <c r="I35" s="149" t="n"/>
    </row>
    <row r="36" hidden="1" ht="18" customHeight="1">
      <c r="A36" s="179" t="inlineStr">
        <is>
          <t>WARNING</t>
        </is>
      </c>
      <c r="B36" s="180" t="inlineStr">
        <is>
          <t>Approaching threshold — review disputes, identify patterns</t>
        </is>
      </c>
      <c r="C36" s="150" t="n"/>
      <c r="D36" s="150" t="n"/>
      <c r="E36" s="150" t="n"/>
      <c r="F36" s="150" t="n"/>
      <c r="G36" s="150" t="n"/>
      <c r="H36" s="150" t="n"/>
      <c r="I36" s="149" t="n"/>
    </row>
    <row r="37" hidden="1" ht="18" customHeight="1">
      <c r="A37" s="181" t="inlineStr">
        <is>
          <t>BREACH</t>
        </is>
      </c>
      <c r="B37" s="182" t="inlineStr">
        <is>
          <t>At or above threshold — immediate action required</t>
        </is>
      </c>
      <c r="C37" s="150" t="n"/>
      <c r="D37" s="150" t="n"/>
      <c r="E37" s="150" t="n"/>
      <c r="F37" s="150" t="n"/>
      <c r="G37" s="150" t="n"/>
      <c r="H37" s="150" t="n"/>
      <c r="I37" s="149" t="n"/>
    </row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</sheetData>
  <mergeCells count="9">
    <mergeCell ref="A9:D9"/>
    <mergeCell ref="A2:I2"/>
    <mergeCell ref="A11:I11"/>
    <mergeCell ref="A4:D4"/>
    <mergeCell ref="A1:I1"/>
    <mergeCell ref="B36:I36"/>
    <mergeCell ref="B37:I37"/>
    <mergeCell ref="A34:I34"/>
    <mergeCell ref="B35:I35"/>
  </mergeCells>
  <conditionalFormatting sqref="G13:G32">
    <cfRule type="expression" priority="1" dxfId="2">
      <formula>G13="OK"</formula>
    </cfRule>
    <cfRule type="expression" priority="2" dxfId="4">
      <formula>G13="WARNING"</formula>
    </cfRule>
    <cfRule type="expression" priority="3" dxfId="0">
      <formula>G13="BREACH"</formula>
    </cfRule>
  </conditionalFormatting>
  <dataValidations count="1">
    <dataValidation sqref="B10:B27" showDropDown="0" showInputMessage="1" showErrorMessage="1" allowBlank="1" type="list">
      <formula1>"Stripe,Shopify Payments,PayPal"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J28"/>
  <sheetViews>
    <sheetView showGridLines="0" tabSelected="1" workbookViewId="0">
      <pane ySplit="3" topLeftCell="A4" activePane="bottomLeft" state="frozen"/>
      <selection pane="bottomLeft" activeCell="C11" sqref="C11"/>
    </sheetView>
  </sheetViews>
  <sheetFormatPr baseColWidth="10" defaultColWidth="8.83203125" defaultRowHeight="15"/>
  <cols>
    <col width="12" customWidth="1" min="1" max="1"/>
    <col width="10" customWidth="1" min="2" max="2"/>
    <col width="22" customWidth="1" min="3" max="3"/>
    <col width="9" customWidth="1" min="4" max="4"/>
    <col width="24" customWidth="1" min="5" max="5"/>
    <col width="20" customWidth="1" min="6" max="6"/>
    <col width="20" customWidth="1" min="7" max="7"/>
    <col width="22" customWidth="1" min="8" max="8"/>
    <col width="12" customWidth="1" min="9" max="9"/>
    <col width="12" customWidth="1" min="10" max="10"/>
    <col hidden="1" width="13" customWidth="1" min="11" max="1001"/>
  </cols>
  <sheetData>
    <row r="1" ht="26" customHeight="1">
      <c r="A1" s="187" t="inlineStr">
        <is>
          <t xml:space="preserve">  LEARNING LOOP — Post-Resolution Review</t>
        </is>
      </c>
      <c r="B1" s="150" t="n"/>
      <c r="C1" s="150" t="n"/>
      <c r="D1" s="150" t="n"/>
      <c r="E1" s="150" t="n"/>
      <c r="F1" s="150" t="n"/>
      <c r="G1" s="150" t="n"/>
      <c r="H1" s="150" t="n"/>
      <c r="I1" s="150" t="n"/>
      <c r="J1" s="149" t="n"/>
    </row>
    <row r="2" ht="18" customHeight="1">
      <c r="A2" s="188" t="inlineStr">
        <is>
          <t xml:space="preserve">  Complete a row for every resolved dispute — especially losses. This is how you stop losing the same dispute twice.</t>
        </is>
      </c>
      <c r="B2" s="150" t="n"/>
      <c r="C2" s="150" t="n"/>
      <c r="D2" s="150" t="n"/>
      <c r="E2" s="150" t="n"/>
      <c r="F2" s="150" t="n"/>
      <c r="G2" s="150" t="n"/>
      <c r="H2" s="150" t="n"/>
      <c r="I2" s="150" t="n"/>
      <c r="J2" s="149" t="n"/>
    </row>
    <row r="3" ht="34" customHeight="1">
      <c r="A3" s="103" t="inlineStr">
        <is>
          <t>DISPUTE
REF</t>
        </is>
      </c>
      <c r="B3" s="103" t="inlineStr">
        <is>
          <t>OUTCOME</t>
        </is>
      </c>
      <c r="C3" s="103" t="inlineStr">
        <is>
          <t>DISPUTE TYPE</t>
        </is>
      </c>
      <c r="D3" s="103" t="inlineStr">
        <is>
          <t>REASON
CODE</t>
        </is>
      </c>
      <c r="E3" s="103" t="inlineStr">
        <is>
          <t>WHAT WAS MISSING?</t>
        </is>
      </c>
      <c r="F3" s="103" t="inlineStr">
        <is>
          <t>ROOT CAUSE</t>
        </is>
      </c>
      <c r="G3" s="103" t="inlineStr">
        <is>
          <t>FIX APPLIED</t>
        </is>
      </c>
      <c r="H3" s="103" t="inlineStr">
        <is>
          <t>PREVENTION ACTION</t>
        </is>
      </c>
      <c r="I3" s="103" t="inlineStr">
        <is>
          <t>DATE
REVIEWED</t>
        </is>
      </c>
      <c r="J3" s="103" t="inlineStr">
        <is>
          <t>FOLLOW-UP
NEEDED?</t>
        </is>
      </c>
    </row>
    <row r="4" ht="22" customHeight="1">
      <c r="A4" s="83" t="n"/>
      <c r="B4" s="83" t="n"/>
      <c r="C4" s="83" t="n"/>
      <c r="D4" s="83" t="n"/>
      <c r="E4" s="83" t="n"/>
      <c r="F4" s="83" t="n"/>
      <c r="G4" s="83" t="n"/>
      <c r="H4" s="83" t="n"/>
      <c r="I4" s="83" t="n"/>
      <c r="J4" s="83" t="n"/>
    </row>
    <row r="5" ht="22" customHeight="1">
      <c r="A5" s="85" t="n"/>
      <c r="B5" s="85" t="n"/>
      <c r="C5" s="85" t="n"/>
      <c r="D5" s="85" t="n"/>
      <c r="E5" s="85" t="n"/>
      <c r="F5" s="85" t="n"/>
      <c r="G5" s="85" t="n"/>
      <c r="H5" s="85" t="n"/>
      <c r="I5" s="183" t="n"/>
      <c r="J5" s="85" t="n"/>
    </row>
    <row r="6" ht="22" customHeight="1">
      <c r="A6" s="83" t="n"/>
      <c r="B6" s="83" t="n"/>
      <c r="C6" s="83" t="n"/>
      <c r="D6" s="83" t="n"/>
      <c r="E6" s="83" t="n"/>
      <c r="F6" s="83" t="n"/>
      <c r="G6" s="83" t="n"/>
      <c r="H6" s="83" t="n"/>
      <c r="I6" s="184" t="n"/>
      <c r="J6" s="83" t="n"/>
    </row>
    <row r="7" ht="22" customHeight="1">
      <c r="A7" s="85" t="n"/>
      <c r="B7" s="85" t="n"/>
      <c r="C7" s="85" t="n"/>
      <c r="D7" s="85" t="n"/>
      <c r="E7" s="85" t="n"/>
      <c r="F7" s="85" t="n"/>
      <c r="G7" s="85" t="n"/>
      <c r="H7" s="85" t="n"/>
      <c r="I7" s="85" t="n"/>
      <c r="J7" s="85" t="n"/>
    </row>
    <row r="8" ht="22" customHeight="1">
      <c r="A8" s="83" t="n"/>
      <c r="B8" s="83" t="n"/>
      <c r="C8" s="83" t="n"/>
      <c r="D8" s="83" t="n"/>
      <c r="E8" s="83" t="n"/>
      <c r="F8" s="83" t="n"/>
      <c r="G8" s="83" t="n"/>
      <c r="H8" s="83" t="n"/>
      <c r="I8" s="83" t="n"/>
      <c r="J8" s="83" t="n"/>
    </row>
    <row r="9" ht="22" customHeight="1">
      <c r="A9" s="85" t="n"/>
      <c r="B9" s="85" t="n"/>
      <c r="C9" s="85" t="n"/>
      <c r="D9" s="85" t="n"/>
      <c r="E9" s="85" t="n"/>
      <c r="F9" s="85" t="n"/>
      <c r="G9" s="85" t="n"/>
      <c r="H9" s="85" t="n"/>
      <c r="I9" s="85" t="n"/>
      <c r="J9" s="85" t="n"/>
    </row>
    <row r="10" ht="22" customHeight="1">
      <c r="A10" s="83" t="n"/>
      <c r="B10" s="83" t="n"/>
      <c r="C10" s="83" t="n"/>
      <c r="D10" s="83" t="n"/>
      <c r="E10" s="83" t="n"/>
      <c r="F10" s="83" t="n"/>
      <c r="G10" s="83" t="n"/>
      <c r="H10" s="83" t="n"/>
      <c r="I10" s="83" t="n"/>
      <c r="J10" s="83" t="n"/>
    </row>
    <row r="11" ht="22" customHeight="1">
      <c r="A11" s="85" t="n"/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</row>
    <row r="12" ht="22" customHeight="1">
      <c r="A12" s="83" t="n"/>
      <c r="B12" s="83" t="n"/>
      <c r="C12" s="83" t="n"/>
      <c r="D12" s="83" t="n"/>
      <c r="E12" s="83" t="n"/>
      <c r="F12" s="83" t="n"/>
      <c r="G12" s="83" t="n"/>
      <c r="H12" s="83" t="n"/>
      <c r="I12" s="83" t="n"/>
      <c r="J12" s="83" t="n"/>
    </row>
    <row r="13" ht="22" customHeight="1">
      <c r="A13" s="85" t="n"/>
      <c r="B13" s="85" t="n"/>
      <c r="C13" s="85" t="n"/>
      <c r="D13" s="85" t="n"/>
      <c r="E13" s="85" t="n"/>
      <c r="F13" s="85" t="n"/>
      <c r="G13" s="85" t="n"/>
      <c r="H13" s="85" t="n"/>
      <c r="I13" s="85" t="n"/>
      <c r="J13" s="85" t="n"/>
    </row>
    <row r="14" ht="22" customHeight="1">
      <c r="A14" s="83" t="n"/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</row>
    <row r="15" ht="22" customHeight="1">
      <c r="A15" s="85" t="n"/>
      <c r="B15" s="85" t="n"/>
      <c r="C15" s="85" t="n"/>
      <c r="D15" s="85" t="n"/>
      <c r="E15" s="85" t="n"/>
      <c r="F15" s="85" t="n"/>
      <c r="G15" s="85" t="n"/>
      <c r="H15" s="85" t="n"/>
      <c r="I15" s="85" t="n"/>
      <c r="J15" s="85" t="n"/>
    </row>
    <row r="16" ht="22" customHeight="1">
      <c r="A16" s="83" t="n"/>
      <c r="B16" s="83" t="n"/>
      <c r="C16" s="83" t="n"/>
      <c r="D16" s="83" t="n"/>
      <c r="E16" s="83" t="n"/>
      <c r="F16" s="83" t="n"/>
      <c r="G16" s="83" t="n"/>
      <c r="H16" s="83" t="n"/>
      <c r="I16" s="83" t="n"/>
      <c r="J16" s="83" t="n"/>
    </row>
    <row r="17" ht="22" customHeight="1">
      <c r="A17" s="85" t="n"/>
      <c r="B17" s="85" t="n"/>
      <c r="C17" s="85" t="n"/>
      <c r="D17" s="85" t="n"/>
      <c r="E17" s="85" t="n"/>
      <c r="F17" s="85" t="n"/>
      <c r="G17" s="85" t="n"/>
      <c r="H17" s="85" t="n"/>
      <c r="I17" s="85" t="n"/>
      <c r="J17" s="85" t="n"/>
    </row>
    <row r="18" ht="22" customHeight="1">
      <c r="A18" s="83" t="n"/>
      <c r="B18" s="83" t="n"/>
      <c r="C18" s="83" t="n"/>
      <c r="D18" s="83" t="n"/>
      <c r="E18" s="83" t="n"/>
      <c r="F18" s="83" t="n"/>
      <c r="G18" s="83" t="n"/>
      <c r="H18" s="83" t="n"/>
      <c r="I18" s="83" t="n"/>
      <c r="J18" s="83" t="n"/>
    </row>
    <row r="19" ht="22" customHeight="1">
      <c r="A19" s="85" t="n"/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</row>
    <row r="20" ht="22" customHeight="1">
      <c r="A20" s="83" t="n"/>
      <c r="B20" s="83" t="n"/>
      <c r="C20" s="83" t="n"/>
      <c r="D20" s="83" t="n"/>
      <c r="E20" s="83" t="n"/>
      <c r="F20" s="83" t="n"/>
      <c r="G20" s="83" t="n"/>
      <c r="H20" s="83" t="n"/>
      <c r="I20" s="83" t="n"/>
      <c r="J20" s="83" t="n"/>
    </row>
    <row r="21" ht="22" customHeight="1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</row>
    <row r="22" ht="22" customHeight="1">
      <c r="A22" s="83" t="n"/>
      <c r="B22" s="83" t="n"/>
      <c r="C22" s="83" t="n"/>
      <c r="D22" s="83" t="n"/>
      <c r="E22" s="83" t="n"/>
      <c r="F22" s="83" t="n"/>
      <c r="G22" s="83" t="n"/>
      <c r="H22" s="83" t="n"/>
      <c r="I22" s="83" t="n"/>
      <c r="J22" s="83" t="n"/>
    </row>
    <row r="23" ht="22" customHeight="1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</row>
    <row r="24" ht="20" customHeight="1">
      <c r="A24" s="185" t="inlineStr">
        <is>
          <t>SUMMARY</t>
        </is>
      </c>
      <c r="B24" s="150" t="n"/>
      <c r="C24" s="149" t="n"/>
      <c r="D24" s="181">
        <f>COUNTIF(B4:B23,"Loss")</f>
        <v/>
      </c>
      <c r="E24" s="186" t="inlineStr">
        <is>
          <t>Total losses reviewed  |  Review Root Cause column monthly — patterns here drive your prevention priority.</t>
        </is>
      </c>
      <c r="F24" s="150" t="n"/>
      <c r="G24" s="150" t="n"/>
      <c r="H24" s="150" t="n"/>
      <c r="I24" s="150" t="n"/>
      <c r="J24" s="149" t="n"/>
    </row>
    <row r="25" ht="24" customHeight="1">
      <c r="A25" s="87" t="n"/>
      <c r="B25" s="87" t="n"/>
      <c r="C25" s="87" t="n"/>
      <c r="D25" s="87" t="n"/>
      <c r="E25" s="87" t="n"/>
      <c r="F25" s="87" t="n"/>
      <c r="G25" s="87" t="n"/>
      <c r="H25" s="87" t="n"/>
      <c r="I25" s="87" t="n"/>
      <c r="J25" s="87" t="n"/>
    </row>
    <row r="26" ht="24" customHeight="1">
      <c r="A26" s="87" t="n"/>
      <c r="B26" s="87" t="n"/>
      <c r="C26" s="87" t="n"/>
      <c r="D26" s="87" t="n"/>
      <c r="E26" s="87" t="n"/>
      <c r="F26" s="87" t="n"/>
      <c r="G26" s="87" t="n"/>
      <c r="H26" s="87" t="n"/>
      <c r="I26" s="87" t="n"/>
      <c r="J26" s="87" t="n"/>
    </row>
    <row r="27" ht="10" customHeight="1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</row>
    <row r="28" ht="26" customHeight="1">
      <c r="A28" s="145" t="n"/>
      <c r="B28" s="98" t="n"/>
      <c r="C28" s="98" t="n"/>
      <c r="D28" s="146" t="n"/>
      <c r="E28" s="147" t="n"/>
      <c r="F28" s="148" t="n"/>
      <c r="G28" s="98" t="n"/>
      <c r="H28" s="98" t="n"/>
      <c r="I28" s="98" t="n"/>
      <c r="J28" s="98" t="n"/>
    </row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</sheetData>
  <mergeCells count="4">
    <mergeCell ref="A1:J1"/>
    <mergeCell ref="A24:C24"/>
    <mergeCell ref="E24:J24"/>
    <mergeCell ref="A2:J2"/>
  </mergeCells>
  <conditionalFormatting sqref="B4:B23">
    <cfRule type="cellIs" priority="1" operator="equal" dxfId="2">
      <formula>"Win"</formula>
    </cfRule>
    <cfRule type="cellIs" priority="2" operator="equal" dxfId="0">
      <formula>"Loss"</formula>
    </cfRule>
    <cfRule type="cellIs" priority="3" operator="equal" dxfId="1">
      <formula>"Accepted"</formula>
    </cfRule>
  </conditionalFormatting>
  <dataValidations count="6">
    <dataValidation sqref="B5:B26" showDropDown="0" showInputMessage="1" showErrorMessage="1" allowBlank="1" type="list">
      <formula1>"Win,Loss,Accepted,Withdrawn"</formula1>
    </dataValidation>
    <dataValidation sqref="C5:C26" showDropDown="0" showInputMessage="1" showErrorMessage="1" allowBlank="1" type="list">
      <formula1>"Fraud - Card Not Present,Item Not Received,Item Not as Described,Credit Not Processed,Duplicate Charge,Subscription Cancelled,Digital Goods,General / Other"</formula1>
    </dataValidation>
    <dataValidation sqref="F5:F26" showDropDown="0" showInputMessage="1" showErrorMessage="1" allowBlank="1" type="list">
      <formula1>"No delivery proof,No IP / device ID,Incomplete template,Late submission,Wrong portal,Missing customer comms,Policy not captured,Other"</formula1>
    </dataValidation>
    <dataValidation sqref="G5:G26" showDropDown="0" showInputMessage="1" showErrorMessage="1" allowBlank="1" type="list">
      <formula1>"Updated evidence checklist,Enabled tracked shipping,Deployed CE 3.0 email sequence,Added 3DS2,Updated checkout terms,Fixed template,No fix needed — process worked,Other"</formula1>
    </dataValidation>
    <dataValidation sqref="J5:J26" showDropDown="0" showInputMessage="1" showErrorMessage="1" allowBlank="1" type="list">
      <formula1>"Yes - monitor next 30 days,Yes - update prevention audit,No further action needed"</formula1>
    </dataValidation>
    <dataValidation sqref="B4 B5 B6 B7 B8 B9 B10 B11 B12 B13 B14 B15 B16 B17 B18 B19 B20 B21 B22 B23" showDropDown="0" showInputMessage="0" showErrorMessage="0" allowBlank="0" type="list">
      <formula1>"Win,Loss,Accepted,Withdrawn"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2026-02-18T16:53:15Z</dcterms:created>
  <dcterms:modified xmlns:dcterms="http://purl.org/dc/terms/" xmlns:xsi="http://www.w3.org/2001/XMLSchema-instance" xsi:type="dcterms:W3CDTF">2026-02-20T03:11:24Z</dcterms:modified>
  <cp:lastModifiedBy>guideWorks</cp:lastModifiedBy>
</cp:coreProperties>
</file>