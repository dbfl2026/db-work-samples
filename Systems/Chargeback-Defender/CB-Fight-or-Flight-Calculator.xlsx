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Fight-or-Flight" sheetId="1" state="visible" r:id="rId1"/>
    <sheet xmlns:r="http://schemas.openxmlformats.org/officeDocument/2006/relationships" name="📋 How to Use" sheetId="2" state="visible" r:id="rId2"/>
  </sheets>
  <definedNames>
    <definedName name="_xlnm.Print_Area" localSheetId="0">'⚖️ Fight-or-Flight'!$A$1:$F$27</definedName>
    <definedName name="_xlnm.Print_Area" localSheetId="1">'📋 How to Use'!$A$1:$C$26</definedName>
  </definedNames>
</workbook>
</file>

<file path=xl/styles.xml><?xml version="1.0" encoding="utf-8"?>
<styleSheet xmlns="http://schemas.openxmlformats.org/spreadsheetml/2006/main">
  <numFmts count="4">
    <numFmt numFmtId="164" formatCode="\$#,##0.00"/>
    <numFmt numFmtId="165" formatCode="0.0%"/>
    <numFmt numFmtId="166" formatCode="0.00&quot; (win probability proxy)&quot;"/>
    <numFmt numFmtId="167" formatCode="\$#,##0.00;[RED]&quot;($&quot;#,##0.00\)"/>
  </numFmts>
  <fonts count="22">
    <font>
      <name val="Calibri"/>
      <family val="2"/>
      <color theme="1"/>
      <sz val="11"/>
    </font>
    <font>
      <name val="Arial"/>
      <sz val="10"/>
    </font>
    <font>
      <name val="Arial"/>
      <sz val="10"/>
    </font>
    <font>
      <name val="Arial"/>
      <sz val="10"/>
    </font>
    <font>
      <name val="Arial"/>
      <b val="1"/>
      <color rgb="FFFFFFFF"/>
      <sz val="18"/>
    </font>
    <font>
      <name val="Arial"/>
      <i val="1"/>
      <color rgb="FFFFFFFF"/>
      <sz val="11"/>
    </font>
    <font>
      <name val="Arial"/>
      <b val="1"/>
      <color rgb="FFFFFFFF"/>
      <sz val="11"/>
    </font>
    <font>
      <name val="Arial"/>
      <color rgb="FF000000"/>
      <sz val="11"/>
    </font>
    <font>
      <name val="Arial"/>
      <b val="1"/>
      <color rgb="FF1B3A5C"/>
      <sz val="11"/>
    </font>
    <font>
      <name val="Arial"/>
      <b val="1"/>
      <color rgb="FF00008B"/>
      <sz val="13"/>
    </font>
    <font>
      <name val="Arial"/>
      <i val="1"/>
      <color rgb="FF444444"/>
      <sz val="10"/>
    </font>
    <font>
      <name val="Arial"/>
      <b val="1"/>
      <color rgb="FF1B3A5C"/>
      <sz val="13"/>
    </font>
    <font>
      <name val="Arial"/>
      <color rgb="FF333333"/>
      <sz val="10"/>
    </font>
    <font>
      <name val="Arial"/>
      <b val="1"/>
      <color rgb="FF000000"/>
      <sz val="11"/>
    </font>
    <font>
      <name val="Arial"/>
      <b val="1"/>
      <color rgb="FFFFFFFF"/>
      <sz val="16"/>
    </font>
    <font>
      <name val="Arial"/>
      <i val="1"/>
      <color rgb="FF333333"/>
      <sz val="10"/>
    </font>
    <font>
      <name val="Arial"/>
      <b val="1"/>
      <color rgb="FF375623"/>
      <sz val="10"/>
    </font>
    <font>
      <name val="Arial"/>
      <b val="1"/>
      <color rgb="FFC00000"/>
      <sz val="10"/>
    </font>
    <font>
      <name val="Arial"/>
      <b val="1"/>
      <color rgb="FFED7D31"/>
      <sz val="10"/>
    </font>
    <font>
      <name val="Arial"/>
      <b val="1"/>
      <color rgb="FFFFFFFF"/>
      <sz val="10"/>
    </font>
    <font>
      <name val="Arial"/>
      <b val="1"/>
      <color rgb="FF00838F"/>
      <sz val="10"/>
    </font>
    <font>
      <name val="Arial"/>
      <i val="1"/>
      <color rgb="FF666666"/>
      <sz val="9"/>
    </font>
  </fonts>
  <fills count="15">
    <fill>
      <patternFill/>
    </fill>
    <fill>
      <patternFill patternType="gray125"/>
    </fill>
    <fill>
      <patternFill patternType="solid">
        <fgColor rgb="FF1B3A5C"/>
      </patternFill>
    </fill>
    <fill>
      <patternFill patternType="solid">
        <fgColor rgb="FF00838F"/>
      </patternFill>
    </fill>
    <fill>
      <patternFill patternType="solid">
        <fgColor rgb="FFD6E8F7"/>
      </patternFill>
    </fill>
    <fill>
      <patternFill patternType="solid">
        <fgColor rgb="FF2E75B6"/>
      </patternFill>
    </fill>
    <fill>
      <patternFill patternType="solid">
        <fgColor rgb="FFEBF3FB"/>
      </patternFill>
    </fill>
    <fill>
      <patternFill patternType="solid">
        <fgColor rgb="FFFFFFFF"/>
      </patternFill>
    </fill>
    <fill>
      <patternFill patternType="solid">
        <fgColor rgb="FFFFF2CC"/>
      </patternFill>
    </fill>
    <fill>
      <patternFill patternType="solid">
        <fgColor rgb="FFF5F5F5"/>
      </patternFill>
    </fill>
    <fill>
      <patternFill patternType="solid">
        <fgColor rgb="FFE8F5F6"/>
      </patternFill>
    </fill>
    <fill>
      <patternFill patternType="solid">
        <fgColor rgb="FFE2EFDA"/>
      </patternFill>
    </fill>
    <fill>
      <patternFill patternType="solid">
        <fgColor rgb="FFFFE0E0"/>
      </patternFill>
    </fill>
    <fill>
      <patternFill patternType="solid">
        <fgColor rgb="FFFFF3E0"/>
      </patternFill>
    </fill>
    <fill>
      <patternFill patternType="solid">
        <fgColor rgb="FFFFF0F0"/>
      </patternFill>
    </fill>
  </fills>
  <borders count="22">
    <border>
      <left/>
      <right/>
      <top/>
      <bottom/>
      <diagonal/>
    </border>
    <border>
      <left style="medium">
        <color rgb="FF2E75B6"/>
      </left>
      <right style="thin">
        <color rgb="FFDDDDDD"/>
      </right>
      <top style="thin">
        <color rgb="FFDDDDDD"/>
      </top>
      <bottom style="thin">
        <color rgb="FFDDDDDD"/>
      </bottom>
      <diagonal/>
    </border>
    <border>
      <left style="thin">
        <color rgb="FFDDDDDD"/>
      </left>
      <right style="medium">
        <color rgb="FF2E75B6"/>
      </right>
      <top style="medium">
        <color rgb="FF2E75B6"/>
      </top>
      <bottom style="medium">
        <color rgb="FF2E75B6"/>
      </bottom>
      <diagonal/>
    </border>
    <border>
      <left style="medium">
        <color rgb="FF888888"/>
      </left>
      <right style="thin">
        <color rgb="FFDDDDDD"/>
      </right>
      <top style="thin">
        <color rgb="FFDDDDDD"/>
      </top>
      <bottom style="thin">
        <color rgb="FFDDDDDD"/>
      </bottom>
      <diagonal/>
    </border>
    <border>
      <left style="medium">
        <color rgb="FF00838F"/>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medium">
        <color rgb="FF00838F"/>
      </left>
      <right/>
      <top style="medium">
        <color rgb="FF00838F"/>
      </top>
      <bottom style="medium">
        <color rgb="FF00838F"/>
      </bottom>
      <diagonal/>
    </border>
    <border>
      <left style="thin">
        <color rgb="FF2E75B6"/>
      </left>
      <right/>
      <top style="thin">
        <color rgb="FF2E75B6"/>
      </top>
      <bottom style="thin">
        <color rgb="FF2E75B6"/>
      </bottom>
      <diagonal/>
    </border>
    <border>
      <left style="medium">
        <color rgb="FF375623"/>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style="medium">
        <color rgb="FFC00000"/>
      </left>
      <right style="thin">
        <color rgb="FFDDDDDD"/>
      </right>
      <top style="thin">
        <color rgb="FFDDDDDD"/>
      </top>
      <bottom style="thin">
        <color rgb="FFDDDDDD"/>
      </bottom>
      <diagonal/>
    </border>
    <border>
      <left style="medium">
        <color rgb="FFED7D31"/>
      </left>
      <right style="thin">
        <color rgb="FFDDDDDD"/>
      </right>
      <top style="thin">
        <color rgb="FFDDDDDD"/>
      </top>
      <bottom style="thin">
        <color rgb="FFDDDDDD"/>
      </bottom>
      <diagonal/>
    </border>
    <border>
      <left style="medium">
        <color rgb="FF00838F"/>
      </left>
      <right/>
      <top style="thin">
        <color rgb="FFDDDDDD"/>
      </top>
      <bottom style="thin">
        <color rgb="FFDDDDDD"/>
      </bottom>
      <diagonal/>
    </border>
    <border>
      <left style="thin">
        <color rgb="FFC00000"/>
      </left>
      <right/>
      <top style="thin">
        <color rgb="FFC00000"/>
      </top>
      <bottom style="thin">
        <color rgb="FFC00000"/>
      </bottom>
      <diagonal/>
    </border>
    <border>
      <left/>
      <right/>
      <top style="medium">
        <color rgb="FF00838F"/>
      </top>
      <bottom/>
      <diagonal/>
    </border>
    <border>
      <left/>
      <right/>
      <top style="medium">
        <color rgb="FF00838F"/>
      </top>
      <bottom style="medium">
        <color rgb="FF00838F"/>
      </bottom>
      <diagonal/>
    </border>
    <border>
      <left/>
      <right/>
      <top style="thin">
        <color rgb="FF2E75B6"/>
      </top>
      <bottom/>
      <diagonal/>
    </border>
    <border>
      <left/>
      <right/>
      <top style="thin">
        <color rgb="FF2E75B6"/>
      </top>
      <bottom style="thin">
        <color rgb="FF2E75B6"/>
      </bottom>
      <diagonal/>
    </border>
    <border>
      <left/>
      <right/>
      <top style="thin">
        <color rgb="FFDDDDDD"/>
      </top>
      <bottom/>
      <diagonal/>
    </border>
    <border>
      <left/>
      <right/>
      <top style="thin">
        <color rgb="FFDDDDDD"/>
      </top>
      <bottom style="thin">
        <color rgb="FFDDDDDD"/>
      </bottom>
      <diagonal/>
    </border>
    <border>
      <left/>
      <right/>
      <top style="thin">
        <color rgb="FFC00000"/>
      </top>
      <bottom/>
      <diagonal/>
    </border>
    <border>
      <left/>
      <right/>
      <top style="thin">
        <color rgb="FFC00000"/>
      </top>
      <bottom style="thin">
        <color rgb="FFC0000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0" fillId="4" borderId="0" applyAlignment="1" pivotButton="0" quotePrefix="0" xfId="0">
      <alignment horizontal="general" vertical="bottom"/>
    </xf>
    <xf numFmtId="0" fontId="6" fillId="5" borderId="0" applyAlignment="1" pivotButton="0" quotePrefix="0" xfId="0">
      <alignment horizontal="left" vertical="center"/>
    </xf>
    <xf numFmtId="0" fontId="7" fillId="4" borderId="0" applyAlignment="1" pivotButton="0" quotePrefix="0" xfId="0">
      <alignment horizontal="left" vertical="center"/>
    </xf>
    <xf numFmtId="0" fontId="8" fillId="4" borderId="1" applyAlignment="1" pivotButton="0" quotePrefix="0" xfId="0">
      <alignment horizontal="left" vertical="center"/>
    </xf>
    <xf numFmtId="164" fontId="9" fillId="6" borderId="2" applyAlignment="1" pivotButton="0" quotePrefix="0" xfId="0">
      <alignment horizontal="center" vertical="center"/>
    </xf>
    <xf numFmtId="0" fontId="10" fillId="4" borderId="3" applyAlignment="1" pivotButton="0" quotePrefix="0" xfId="0">
      <alignment horizontal="left" vertical="center"/>
    </xf>
    <xf numFmtId="0" fontId="7" fillId="7" borderId="0" applyAlignment="1" pivotButton="0" quotePrefix="0" xfId="0">
      <alignment horizontal="left" vertical="center"/>
    </xf>
    <xf numFmtId="0" fontId="8" fillId="7" borderId="1" applyAlignment="1" pivotButton="0" quotePrefix="0" xfId="0">
      <alignment horizontal="left" vertical="center"/>
    </xf>
    <xf numFmtId="165" fontId="9" fillId="6" borderId="2" applyAlignment="1" pivotButton="0" quotePrefix="0" xfId="0">
      <alignment horizontal="center" vertical="center"/>
    </xf>
    <xf numFmtId="0" fontId="10" fillId="7" borderId="3" applyAlignment="1" pivotButton="0" quotePrefix="0" xfId="0">
      <alignment horizontal="left" vertical="center"/>
    </xf>
    <xf numFmtId="0" fontId="11" fillId="8" borderId="2" applyAlignment="1" pivotButton="0" quotePrefix="0" xfId="0">
      <alignment horizontal="center" vertical="center"/>
    </xf>
    <xf numFmtId="0" fontId="0" fillId="9" borderId="0" applyAlignment="1" pivotButton="0" quotePrefix="0" xfId="0">
      <alignment horizontal="general" vertical="bottom"/>
    </xf>
    <xf numFmtId="0" fontId="6" fillId="3" borderId="0" applyAlignment="1" pivotButton="0" quotePrefix="0" xfId="0">
      <alignment horizontal="left" vertical="center"/>
    </xf>
    <xf numFmtId="0" fontId="7" fillId="10" borderId="0" applyAlignment="1" pivotButton="0" quotePrefix="0" xfId="0">
      <alignment horizontal="left" vertical="center"/>
    </xf>
    <xf numFmtId="0" fontId="12" fillId="10" borderId="4" applyAlignment="1" pivotButton="0" quotePrefix="0" xfId="0">
      <alignment horizontal="left" vertical="center"/>
    </xf>
    <xf numFmtId="166" fontId="13" fillId="10" borderId="5" applyAlignment="1" pivotButton="0" quotePrefix="0" xfId="0">
      <alignment horizontal="center" vertical="center"/>
    </xf>
    <xf numFmtId="0" fontId="10" fillId="10" borderId="3" applyAlignment="1" pivotButton="0" quotePrefix="0" xfId="0">
      <alignment horizontal="left" vertical="center"/>
    </xf>
    <xf numFmtId="0" fontId="12" fillId="7" borderId="4" applyAlignment="1" pivotButton="0" quotePrefix="0" xfId="0">
      <alignment horizontal="left" vertical="center"/>
    </xf>
    <xf numFmtId="164" fontId="13" fillId="7" borderId="5" applyAlignment="1" pivotButton="0" quotePrefix="0" xfId="0">
      <alignment horizontal="center" vertical="center"/>
    </xf>
    <xf numFmtId="164" fontId="13" fillId="10" borderId="5" applyAlignment="1" pivotButton="0" quotePrefix="0" xfId="0">
      <alignment horizontal="center" vertical="center"/>
    </xf>
    <xf numFmtId="167" fontId="13" fillId="7" borderId="5" applyAlignment="1" pivotButton="0" quotePrefix="0" xfId="0">
      <alignment horizontal="center" vertical="center"/>
    </xf>
    <xf numFmtId="0" fontId="6" fillId="2" borderId="0" applyAlignment="1" pivotButton="0" quotePrefix="0" xfId="0">
      <alignment horizontal="left" vertical="center"/>
    </xf>
    <xf numFmtId="0" fontId="14" fillId="2" borderId="6" applyAlignment="1" pivotButton="0" quotePrefix="0" xfId="0">
      <alignment horizontal="center" vertical="center"/>
    </xf>
    <xf numFmtId="0" fontId="15" fillId="4" borderId="7" applyAlignment="1" pivotButton="0" quotePrefix="0" xfId="0">
      <alignment horizontal="left" vertical="center" wrapText="1"/>
    </xf>
    <xf numFmtId="0" fontId="7" fillId="11" borderId="0" applyAlignment="1" pivotButton="0" quotePrefix="0" xfId="0">
      <alignment horizontal="left" vertical="center"/>
    </xf>
    <xf numFmtId="0" fontId="16" fillId="11" borderId="8" applyAlignment="1" pivotButton="0" quotePrefix="0" xfId="0">
      <alignment horizontal="left" vertical="top"/>
    </xf>
    <xf numFmtId="0" fontId="12" fillId="11" borderId="9" applyAlignment="1" pivotButton="0" quotePrefix="0" xfId="0">
      <alignment horizontal="left" vertical="top" wrapText="1"/>
    </xf>
    <xf numFmtId="0" fontId="7" fillId="12" borderId="0" applyAlignment="1" pivotButton="0" quotePrefix="0" xfId="0">
      <alignment horizontal="left" vertical="center"/>
    </xf>
    <xf numFmtId="0" fontId="17" fillId="12" borderId="10" applyAlignment="1" pivotButton="0" quotePrefix="0" xfId="0">
      <alignment horizontal="left" vertical="top"/>
    </xf>
    <xf numFmtId="0" fontId="12" fillId="12" borderId="9" applyAlignment="1" pivotButton="0" quotePrefix="0" xfId="0">
      <alignment horizontal="left" vertical="top" wrapText="1"/>
    </xf>
    <xf numFmtId="0" fontId="7" fillId="13" borderId="0" applyAlignment="1" pivotButton="0" quotePrefix="0" xfId="0">
      <alignment horizontal="left" vertical="center"/>
    </xf>
    <xf numFmtId="0" fontId="18" fillId="13" borderId="11" applyAlignment="1" pivotButton="0" quotePrefix="0" xfId="0">
      <alignment horizontal="left" vertical="top"/>
    </xf>
    <xf numFmtId="0" fontId="12" fillId="13" borderId="9" applyAlignment="1" pivotButton="0" quotePrefix="0" xfId="0">
      <alignment horizontal="left" vertical="top" wrapText="1"/>
    </xf>
    <xf numFmtId="0" fontId="14" fillId="2" borderId="0" applyAlignment="1" pivotButton="0" quotePrefix="0" xfId="0">
      <alignment horizontal="left" vertical="center"/>
    </xf>
    <xf numFmtId="0" fontId="0" fillId="4" borderId="0" applyAlignment="1" pivotButton="0" quotePrefix="0" xfId="0">
      <alignment horizontal="general" vertical="bottom"/>
    </xf>
    <xf numFmtId="0" fontId="19" fillId="5" borderId="0" applyAlignment="1" pivotButton="0" quotePrefix="0" xfId="0">
      <alignment horizontal="left" vertical="center"/>
    </xf>
    <xf numFmtId="0" fontId="12" fillId="4" borderId="12" applyAlignment="1" pivotButton="0" quotePrefix="0" xfId="0">
      <alignment horizontal="left" vertical="center" wrapText="1"/>
    </xf>
    <xf numFmtId="0" fontId="0" fillId="7" borderId="0" applyAlignment="1" pivotButton="0" quotePrefix="0" xfId="0">
      <alignment horizontal="general" vertical="bottom"/>
    </xf>
    <xf numFmtId="0" fontId="12" fillId="7" borderId="12" applyAlignment="1" pivotButton="0" quotePrefix="0" xfId="0">
      <alignment horizontal="left" vertical="center" wrapText="1"/>
    </xf>
    <xf numFmtId="0" fontId="0" fillId="9" borderId="0" applyAlignment="1" pivotButton="0" quotePrefix="0" xfId="0">
      <alignment horizontal="general" vertical="bottom"/>
    </xf>
    <xf numFmtId="0" fontId="0" fillId="10" borderId="0" applyAlignment="1" pivotButton="0" quotePrefix="0" xfId="0">
      <alignment horizontal="general" vertical="bottom"/>
    </xf>
    <xf numFmtId="0" fontId="20" fillId="10" borderId="4" applyAlignment="1" pivotButton="0" quotePrefix="0" xfId="0">
      <alignment horizontal="left" vertical="center" wrapText="1"/>
    </xf>
    <xf numFmtId="0" fontId="12" fillId="10" borderId="5" applyAlignment="1" pivotButton="0" quotePrefix="0" xfId="0">
      <alignment horizontal="left" vertical="center" wrapText="1"/>
    </xf>
    <xf numFmtId="0" fontId="20" fillId="7" borderId="4" applyAlignment="1" pivotButton="0" quotePrefix="0" xfId="0">
      <alignment horizontal="left" vertical="center" wrapText="1"/>
    </xf>
    <xf numFmtId="0" fontId="12" fillId="7" borderId="5" applyAlignment="1" pivotButton="0" quotePrefix="0" xfId="0">
      <alignment horizontal="left" vertical="center" wrapText="1"/>
    </xf>
    <xf numFmtId="0" fontId="21" fillId="14" borderId="13"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wrapText="1"/>
    </xf>
    <xf numFmtId="0" fontId="0" fillId="4" borderId="0" applyAlignment="1" pivotButton="0" quotePrefix="0" xfId="0">
      <alignment horizontal="general" vertical="bottom"/>
    </xf>
    <xf numFmtId="0" fontId="6" fillId="5" borderId="0" applyAlignment="1" pivotButton="0" quotePrefix="0" xfId="0">
      <alignment horizontal="left" vertical="center"/>
    </xf>
    <xf numFmtId="0" fontId="7" fillId="4" borderId="0" applyAlignment="1" pivotButton="0" quotePrefix="0" xfId="0">
      <alignment horizontal="left" vertical="center"/>
    </xf>
    <xf numFmtId="0" fontId="8" fillId="4" borderId="1" applyAlignment="1" pivotButton="0" quotePrefix="0" xfId="0">
      <alignment horizontal="left" vertical="center"/>
    </xf>
    <xf numFmtId="164" fontId="9" fillId="6" borderId="2" applyAlignment="1" pivotButton="0" quotePrefix="0" xfId="0">
      <alignment horizontal="center" vertical="center"/>
    </xf>
    <xf numFmtId="0" fontId="10" fillId="4" borderId="3" applyAlignment="1" pivotButton="0" quotePrefix="0" xfId="0">
      <alignment horizontal="left" vertical="center" wrapText="1"/>
    </xf>
    <xf numFmtId="0" fontId="7" fillId="7" borderId="0" applyAlignment="1" pivotButton="0" quotePrefix="0" xfId="0">
      <alignment horizontal="left" vertical="center"/>
    </xf>
    <xf numFmtId="0" fontId="8" fillId="7" borderId="1" applyAlignment="1" pivotButton="0" quotePrefix="0" xfId="0">
      <alignment horizontal="left" vertical="center"/>
    </xf>
    <xf numFmtId="165" fontId="9" fillId="6" borderId="2" applyAlignment="1" pivotButton="0" quotePrefix="0" xfId="0">
      <alignment horizontal="center" vertical="center"/>
    </xf>
    <xf numFmtId="0" fontId="10" fillId="7" borderId="3" applyAlignment="1" pivotButton="0" quotePrefix="0" xfId="0">
      <alignment horizontal="left" vertical="center" wrapText="1"/>
    </xf>
    <xf numFmtId="0" fontId="11" fillId="8" borderId="2" applyAlignment="1" pivotButton="0" quotePrefix="0" xfId="0">
      <alignment horizontal="center" vertical="center"/>
    </xf>
    <xf numFmtId="0" fontId="0" fillId="9" borderId="0" applyAlignment="1" pivotButton="0" quotePrefix="0" xfId="0">
      <alignment horizontal="general" vertical="bottom"/>
    </xf>
    <xf numFmtId="0" fontId="6" fillId="3" borderId="0" applyAlignment="1" pivotButton="0" quotePrefix="0" xfId="0">
      <alignment horizontal="left" vertical="center"/>
    </xf>
    <xf numFmtId="0" fontId="7" fillId="10" borderId="0" applyAlignment="1" pivotButton="0" quotePrefix="0" xfId="0">
      <alignment horizontal="left" vertical="center"/>
    </xf>
    <xf numFmtId="0" fontId="12" fillId="10" borderId="4" applyAlignment="1" pivotButton="0" quotePrefix="0" xfId="0">
      <alignment horizontal="left" vertical="center"/>
    </xf>
    <xf numFmtId="166" fontId="13" fillId="10" borderId="5" applyAlignment="1" pivotButton="0" quotePrefix="0" xfId="0">
      <alignment horizontal="center" vertical="center"/>
    </xf>
    <xf numFmtId="0" fontId="10" fillId="10" borderId="3" applyAlignment="1" pivotButton="0" quotePrefix="0" xfId="0">
      <alignment horizontal="left" vertical="center" wrapText="1"/>
    </xf>
    <xf numFmtId="0" fontId="12" fillId="7" borderId="4" applyAlignment="1" pivotButton="0" quotePrefix="0" xfId="0">
      <alignment horizontal="left" vertical="center"/>
    </xf>
    <xf numFmtId="164" fontId="13" fillId="7" borderId="5" applyAlignment="1" pivotButton="0" quotePrefix="0" xfId="0">
      <alignment horizontal="center" vertical="center"/>
    </xf>
    <xf numFmtId="164" fontId="13" fillId="10" borderId="5" applyAlignment="1" pivotButton="0" quotePrefix="0" xfId="0">
      <alignment horizontal="center" vertical="center"/>
    </xf>
    <xf numFmtId="167" fontId="13" fillId="7" borderId="5" applyAlignment="1" pivotButton="0" quotePrefix="0" xfId="0">
      <alignment horizontal="center" vertical="center"/>
    </xf>
    <xf numFmtId="0" fontId="6" fillId="2" borderId="0" applyAlignment="1" pivotButton="0" quotePrefix="0" xfId="0">
      <alignment horizontal="left" vertical="center"/>
    </xf>
    <xf numFmtId="0" fontId="14" fillId="2" borderId="6" applyAlignment="1" pivotButton="0" quotePrefix="0" xfId="0">
      <alignment horizontal="center" vertical="center"/>
    </xf>
    <xf numFmtId="0" fontId="0" fillId="0" borderId="15" pivotButton="0" quotePrefix="0" xfId="0"/>
    <xf numFmtId="0" fontId="15" fillId="4" borderId="7" applyAlignment="1" pivotButton="0" quotePrefix="0" xfId="0">
      <alignment horizontal="left" vertical="center" wrapText="1"/>
    </xf>
    <xf numFmtId="0" fontId="0" fillId="0" borderId="17" pivotButton="0" quotePrefix="0" xfId="0"/>
    <xf numFmtId="0" fontId="7" fillId="11" borderId="0" applyAlignment="1" pivotButton="0" quotePrefix="0" xfId="0">
      <alignment horizontal="left" vertical="center"/>
    </xf>
    <xf numFmtId="0" fontId="16" fillId="11" borderId="8" applyAlignment="1" pivotButton="0" quotePrefix="0" xfId="0">
      <alignment horizontal="left" vertical="top"/>
    </xf>
    <xf numFmtId="0" fontId="12" fillId="11" borderId="9" applyAlignment="1" pivotButton="0" quotePrefix="0" xfId="0">
      <alignment horizontal="left" vertical="top" wrapText="1"/>
    </xf>
    <xf numFmtId="0" fontId="0" fillId="0" borderId="19" pivotButton="0" quotePrefix="0" xfId="0"/>
    <xf numFmtId="0" fontId="7" fillId="12" borderId="0" applyAlignment="1" pivotButton="0" quotePrefix="0" xfId="0">
      <alignment horizontal="left" vertical="center"/>
    </xf>
    <xf numFmtId="0" fontId="17" fillId="12" borderId="10" applyAlignment="1" pivotButton="0" quotePrefix="0" xfId="0">
      <alignment horizontal="left" vertical="top"/>
    </xf>
    <xf numFmtId="0" fontId="12" fillId="12" borderId="9" applyAlignment="1" pivotButton="0" quotePrefix="0" xfId="0">
      <alignment horizontal="left" vertical="top" wrapText="1"/>
    </xf>
    <xf numFmtId="0" fontId="7" fillId="13" borderId="0" applyAlignment="1" pivotButton="0" quotePrefix="0" xfId="0">
      <alignment horizontal="left" vertical="center"/>
    </xf>
    <xf numFmtId="0" fontId="18" fillId="13" borderId="11" applyAlignment="1" pivotButton="0" quotePrefix="0" xfId="0">
      <alignment horizontal="left" vertical="top"/>
    </xf>
    <xf numFmtId="0" fontId="12" fillId="13" borderId="9" applyAlignment="1" pivotButton="0" quotePrefix="0" xfId="0">
      <alignment horizontal="left" vertical="top" wrapText="1"/>
    </xf>
    <xf numFmtId="0" fontId="14" fillId="2" borderId="0" applyAlignment="1" pivotButton="0" quotePrefix="0" xfId="0">
      <alignment horizontal="left" vertical="center"/>
    </xf>
    <xf numFmtId="0" fontId="5" fillId="3" borderId="0" applyAlignment="1" pivotButton="0" quotePrefix="0" xfId="0">
      <alignment horizontal="left" vertical="center"/>
    </xf>
    <xf numFmtId="0" fontId="19" fillId="5" borderId="0" applyAlignment="1" pivotButton="0" quotePrefix="0" xfId="0">
      <alignment horizontal="left" vertical="center"/>
    </xf>
    <xf numFmtId="0" fontId="12" fillId="4" borderId="12" applyAlignment="1" pivotButton="0" quotePrefix="0" xfId="0">
      <alignment horizontal="left" vertical="center" wrapText="1"/>
    </xf>
    <xf numFmtId="0" fontId="0" fillId="7" borderId="0" applyAlignment="1" pivotButton="0" quotePrefix="0" xfId="0">
      <alignment horizontal="general" vertical="bottom"/>
    </xf>
    <xf numFmtId="0" fontId="12" fillId="7" borderId="12" applyAlignment="1" pivotButton="0" quotePrefix="0" xfId="0">
      <alignment horizontal="left" vertical="center" wrapText="1"/>
    </xf>
    <xf numFmtId="0" fontId="0" fillId="10" borderId="0" applyAlignment="1" pivotButton="0" quotePrefix="0" xfId="0">
      <alignment horizontal="general" vertical="bottom"/>
    </xf>
    <xf numFmtId="0" fontId="20" fillId="10" borderId="4" applyAlignment="1" pivotButton="0" quotePrefix="0" xfId="0">
      <alignment horizontal="left" vertical="center" wrapText="1"/>
    </xf>
    <xf numFmtId="0" fontId="12" fillId="10" borderId="5" applyAlignment="1" pivotButton="0" quotePrefix="0" xfId="0">
      <alignment horizontal="left" vertical="center" wrapText="1"/>
    </xf>
    <xf numFmtId="0" fontId="20" fillId="7" borderId="4" applyAlignment="1" pivotButton="0" quotePrefix="0" xfId="0">
      <alignment horizontal="left" vertical="center" wrapText="1"/>
    </xf>
    <xf numFmtId="0" fontId="12" fillId="7" borderId="5" applyAlignment="1" pivotButton="0" quotePrefix="0" xfId="0">
      <alignment horizontal="left" vertical="center" wrapText="1"/>
    </xf>
    <xf numFmtId="0" fontId="21" fillId="14" borderId="13" applyAlignment="1" pivotButton="0" quotePrefix="0" xfId="0">
      <alignment horizontal="left" vertical="center" wrapText="1"/>
    </xf>
    <xf numFmtId="0" fontId="0" fillId="0" borderId="21" pivotButton="0" quotePrefix="0" xfId="0"/>
  </cellXfs>
  <cellStyles count="6">
    <cellStyle name="Normal" xfId="0"/>
    <cellStyle name="Comma" xfId="1"/>
    <cellStyle name="Comma [0]" xfId="2"/>
    <cellStyle name="Currency" xfId="3"/>
    <cellStyle name="Currency [0]" xfId="4"/>
    <cellStyle name="Percent" xfId="5"/>
  </cellStyles>
  <dxfs count="5">
    <dxf>
      <font>
        <name val="Arial"/>
        <b val="1"/>
        <color rgb="FFFFFFFF"/>
        <sz val="16"/>
      </font>
      <fill>
        <patternFill>
          <bgColor rgb="FF1E5631"/>
        </patternFill>
      </fill>
    </dxf>
    <dxf>
      <font>
        <name val="Arial"/>
        <b val="1"/>
        <color rgb="FFFFFFFF"/>
        <sz val="16"/>
      </font>
      <fill>
        <patternFill>
          <bgColor rgb="FFC00000"/>
        </patternFill>
      </fill>
    </dxf>
    <dxf>
      <font>
        <name val="Arial"/>
        <b val="1"/>
        <color rgb="FFFFFFFF"/>
        <sz val="16"/>
      </font>
      <fill>
        <patternFill>
          <bgColor rgb="FFB8560A"/>
        </patternFill>
      </fill>
    </dxf>
    <dxf>
      <font>
        <name val="Arial"/>
        <b val="1"/>
        <color rgb="FF375623"/>
      </font>
      <fill>
        <patternFill>
          <bgColor rgb="FFE2EFDA"/>
        </patternFill>
      </fill>
    </dxf>
    <dxf>
      <font>
        <name val="Arial"/>
        <b val="1"/>
        <color rgb="FFC00000"/>
      </font>
      <fill>
        <patternFill>
          <bgColor rgb="FFFFE0E0"/>
        </patternFill>
      </fill>
    </dxf>
  </dxfs>
  <colors>
    <indexedColors>
      <rgbColor rgb="FF000000"/>
      <rgbColor rgb="FFFFFFFF"/>
      <rgbColor rgb="FFC00000"/>
      <rgbColor rgb="FF00FF00"/>
      <rgbColor rgb="FF0000FF"/>
      <rgbColor rgb="FFFFFF00"/>
      <rgbColor rgb="FFFF00FF"/>
      <rgbColor rgb="FF00FFFF"/>
      <rgbColor rgb="FF800000"/>
      <rgbColor rgb="FF375623"/>
      <rgbColor rgb="FF00008B"/>
      <rgbColor rgb="FF808000"/>
      <rgbColor rgb="FF800080"/>
      <rgbColor rgb="FF00838F"/>
      <rgbColor rgb="FFEBF3FB"/>
      <rgbColor rgb="FF888888"/>
      <rgbColor rgb="FF9999FF"/>
      <rgbColor rgb="FF993366"/>
      <rgbColor rgb="FFFFF2CC"/>
      <rgbColor rgb="FFE8F5F6"/>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D6E8F7"/>
      <rgbColor rgb="FFE2EFDA"/>
      <rgbColor rgb="FFFFF3E0"/>
      <rgbColor rgb="FFF5F5F5"/>
      <rgbColor rgb="FFFFF0F0"/>
      <rgbColor rgb="FFCC99FF"/>
      <rgbColor rgb="FFFFE0E0"/>
      <rgbColor rgb="FF2E75B6"/>
      <rgbColor rgb="FF33CCCC"/>
      <rgbColor rgb="FF99CC00"/>
      <rgbColor rgb="FFFFCC00"/>
      <rgbColor rgb="FFFF9900"/>
      <rgbColor rgb="FFED7D31"/>
      <rgbColor rgb="FF666666"/>
      <rgbColor rgb="FF969696"/>
      <rgbColor rgb="FF1B3A5C"/>
      <rgbColor rgb="FF339966"/>
      <rgbColor rgb="FF1E5631"/>
      <rgbColor rgb="FF444444"/>
      <rgbColor rgb="FFB8560A"/>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tabColor rgb="FF1B3A5C"/>
    <outlinePr summaryBelow="1" summaryRight="1"/>
    <pageSetUpPr/>
  </sheetPr>
  <dimension ref="A1:F26"/>
  <sheetViews>
    <sheetView showGridLines="0" workbookViewId="0">
      <selection activeCell="A1" sqref="A1"/>
    </sheetView>
  </sheetViews>
  <sheetFormatPr baseColWidth="8" defaultColWidth="8.6796875" defaultRowHeight="15"/>
  <cols>
    <col width="2" customWidth="1" style="50" min="1" max="1"/>
    <col width="30" customWidth="1" style="50" min="2" max="2"/>
    <col width="24" customWidth="1" style="50" min="3" max="3"/>
    <col width="2" customWidth="1" style="50" min="4" max="4"/>
    <col width="36" customWidth="1" style="50" min="5" max="5"/>
    <col width="2" customWidth="1" style="50" min="6" max="6"/>
    <col width="13" customWidth="1" style="50" min="7" max="199"/>
  </cols>
  <sheetData>
    <row r="1" ht="42" customHeight="1" s="51">
      <c r="A1" s="52" t="inlineStr">
        <is>
          <t xml:space="preserve">  CHARGEBACK DEFENDER — FIGHT OR FLIGHT CALCULATOR</t>
        </is>
      </c>
    </row>
    <row r="2" s="51">
      <c r="A2" s="53" t="inlineStr">
        <is>
          <t xml:space="preserve">  Decide in 60 seconds whether to fight or accept.</t>
        </is>
      </c>
    </row>
    <row r="3" ht="7.5" customHeight="1" s="51">
      <c r="A3" s="54" t="n"/>
      <c r="B3" s="54" t="n"/>
      <c r="C3" s="54" t="n"/>
      <c r="D3" s="54" t="n"/>
      <c r="E3" s="54" t="n"/>
      <c r="F3" s="54" t="n"/>
    </row>
    <row r="4" ht="21.75" customHeight="1" s="51">
      <c r="A4" s="55" t="inlineStr">
        <is>
          <t xml:space="preserve">  STEP 1 — ENTER YOUR NUMBERS</t>
        </is>
      </c>
      <c r="D4" s="55" t="inlineStr">
        <is>
          <t xml:space="preserve">  GUIDANCE</t>
        </is>
      </c>
    </row>
    <row r="5" s="51">
      <c r="A5" s="56" t="n"/>
      <c r="B5" s="57" t="inlineStr">
        <is>
          <t>Transaction Amount ($)</t>
        </is>
      </c>
      <c r="C5" s="58" t="n"/>
      <c r="D5" s="56" t="n"/>
      <c r="E5" s="59" t="inlineStr">
        <is>
          <t>The original transaction value being disputed. Not the chargeback fee.</t>
        </is>
      </c>
      <c r="F5" s="56" t="n"/>
    </row>
    <row r="6" s="51">
      <c r="A6" s="60" t="n"/>
      <c r="B6" s="61" t="inlineStr">
        <is>
          <t>Your Gross Margin %</t>
        </is>
      </c>
      <c r="C6" s="62" t="n"/>
      <c r="D6" s="60" t="n"/>
      <c r="E6" s="63" t="inlineStr">
        <is>
          <t>What % of the transaction is profit? E.g. 40% means $40 profit on a $100 order.</t>
        </is>
      </c>
      <c r="F6" s="60" t="n"/>
    </row>
    <row r="7" s="51">
      <c r="A7" s="56" t="n"/>
      <c r="B7" s="57" t="inlineStr">
        <is>
          <t>Processor Dispute Fee ($)</t>
        </is>
      </c>
      <c r="C7" s="58" t="n"/>
      <c r="D7" s="56" t="n"/>
      <c r="E7" s="59" t="inlineStr">
        <is>
          <t>Stripe: $15 dispute fee (always) + $15 counter fee if you fight and lose. Max exposure if you fight and lose: $30. Counter fee refunded if you win. Shopify Payments: same structure. PayPal: ~$20 (non-refundable).</t>
        </is>
      </c>
      <c r="F7" s="56" t="n"/>
    </row>
    <row r="8" s="51">
      <c r="A8" s="60" t="n"/>
      <c r="B8" s="61" t="inlineStr">
        <is>
          <t>Your Time Cost ($)</t>
        </is>
      </c>
      <c r="C8" s="58" t="n"/>
      <c r="D8" s="60" t="n"/>
      <c r="E8" s="63" t="inlineStr">
        <is>
          <t>Estimate hours to gather evidence × your hourly rate. E.g. 2hrs × $50/hr = $100.</t>
        </is>
      </c>
      <c r="F8" s="60" t="n"/>
    </row>
    <row r="9" s="51">
      <c r="A9" s="56" t="n"/>
      <c r="B9" s="57" t="inlineStr">
        <is>
          <t>Evidence Strength</t>
        </is>
      </c>
      <c r="C9" s="64" t="n"/>
      <c r="D9" s="56" t="n"/>
      <c r="E9" s="59" t="inlineStr">
        <is>
          <t>Weak = missing key fields  |  Medium = most evidence present  |  Strong = all fields including IP + device ID</t>
        </is>
      </c>
      <c r="F9" s="56" t="n"/>
    </row>
    <row r="10" ht="9.75" customHeight="1" s="51">
      <c r="A10" s="65" t="n"/>
      <c r="B10" s="65" t="n"/>
      <c r="C10" s="65" t="n"/>
      <c r="D10" s="65" t="n"/>
      <c r="E10" s="65" t="n"/>
      <c r="F10" s="65" t="n"/>
    </row>
    <row r="11" ht="21.75" customHeight="1" s="51">
      <c r="A11" s="66" t="inlineStr">
        <is>
          <t xml:space="preserve">  STEP 2 — REVIEW THE CALCULATIONS</t>
        </is>
      </c>
      <c r="D11" s="66" t="inlineStr">
        <is>
          <t xml:space="preserve">  HOW EACH NUMBER IS DERIVED</t>
        </is>
      </c>
    </row>
    <row r="12" s="51">
      <c r="A12" s="67" t="n"/>
      <c r="B12" s="68" t="inlineStr">
        <is>
          <t>Evidence Win Multiplier</t>
        </is>
      </c>
      <c r="C12" s="69">
        <f>IF(C9="Weak",0.25,IF(C9="Medium",0.55,IF(C9="Strong",0.8,"")))</f>
        <v/>
      </c>
      <c r="D12" s="67" t="n"/>
      <c r="E12" s="70" t="inlineStr">
        <is>
          <t>Weak=0.25 · Medium=0.55 · Strong=0.80. Based on typical CE 3.0 outcomes.</t>
        </is>
      </c>
      <c r="F12" s="67" t="n"/>
    </row>
    <row r="13" s="51">
      <c r="A13" s="60" t="n"/>
      <c r="B13" s="71" t="inlineStr">
        <is>
          <t>Profit at Stake</t>
        </is>
      </c>
      <c r="C13" s="72">
        <f>IF(OR(C5="",C6=""),"",C5*C6)</f>
        <v/>
      </c>
      <c r="D13" s="60" t="n"/>
      <c r="E13" s="63" t="inlineStr">
        <is>
          <t>Estimated profit on this transaction. This is what you're actually fighting for.</t>
        </is>
      </c>
      <c r="F13" s="60" t="n"/>
    </row>
    <row r="14" s="51">
      <c r="A14" s="67" t="n"/>
      <c r="B14" s="68" t="inlineStr">
        <is>
          <t>Total Fight Cost (fee + time)</t>
        </is>
      </c>
      <c r="C14" s="73">
        <f>IF(OR(C7="",C8=""),"",C7+C8)</f>
        <v/>
      </c>
      <c r="D14" s="67" t="n"/>
      <c r="E14" s="70" t="inlineStr">
        <is>
          <t>What it costs you to fight regardless of outcome. Dispute fee is non-refundable.</t>
        </is>
      </c>
      <c r="F14" s="67" t="n"/>
    </row>
    <row r="15" s="51">
      <c r="A15" s="60" t="n"/>
      <c r="B15" s="71" t="inlineStr">
        <is>
          <t>Expected Value of Fighting</t>
        </is>
      </c>
      <c r="C15" s="74">
        <f>IF(OR(C12="",C13="",C14=""),"",C13*C12-C14)</f>
        <v/>
      </c>
      <c r="D15" s="60" t="n"/>
      <c r="E15" s="63" t="inlineStr">
        <is>
          <t>(Profit at Stake × Win Multiplier) − Fight Cost. Positive = worth fighting.</t>
        </is>
      </c>
      <c r="F15" s="60" t="n"/>
    </row>
    <row r="16" s="51">
      <c r="A16" s="67" t="n"/>
      <c r="B16" s="68" t="inlineStr">
        <is>
          <t>Decision Threshold (±10% of profit)</t>
        </is>
      </c>
      <c r="C16" s="73">
        <f>IF(C13="","",C13*0.1)</f>
        <v/>
      </c>
      <c r="D16" s="67" t="n"/>
      <c r="E16" s="70" t="inlineStr">
        <is>
          <t>Buffer zone. EV within this band = borderline. Outside it = clear signal.</t>
        </is>
      </c>
      <c r="F16" s="67" t="n"/>
    </row>
    <row r="17" ht="12" customHeight="1" s="51">
      <c r="A17" s="65" t="n"/>
      <c r="B17" s="65" t="n"/>
      <c r="C17" s="65" t="n"/>
      <c r="D17" s="65" t="n"/>
      <c r="E17" s="65" t="n"/>
      <c r="F17" s="65" t="n"/>
    </row>
    <row r="18" ht="21.75" customHeight="1" s="51">
      <c r="A18" s="75" t="inlineStr">
        <is>
          <t xml:space="preserve">  STEP 3 — YOUR RECOMMENDATION</t>
        </is>
      </c>
    </row>
    <row r="19" ht="51.75" customHeight="1" s="51">
      <c r="A19" s="65" t="n"/>
      <c r="B19" s="76">
        <f>IF(C15="","← Fill in all inputs above",IF(C15&gt;C16,"✅  FIGHT THE DISPUTE",IF(C15&lt;-C16,"❌  ACCEPT",IF(AND(C15&gt;=-C16,C15&lt;=C16),"❌  ACCEPT (borderline — improve evidence first)","❌  ACCEPT"))))</f>
        <v/>
      </c>
      <c r="C19" s="77" t="n"/>
      <c r="D19" s="65" t="n"/>
      <c r="E19" s="65" t="n"/>
      <c r="F19" s="65" t="n"/>
    </row>
    <row r="20" ht="43.5" customHeight="1" s="51">
      <c r="A20" s="54" t="n"/>
      <c r="B20" s="78">
        <f>IF(C15="","",IF(C15&gt;C16,"Your expected value is positive after fees and time cost. Your evidence is strong enough to make fighting worthwhile. Proceed to assembly.",IF(C15&lt;-C16,"The math is against you. After fees and time cost, the expected return is negative. Accept — and use the learning loop to prevent the next one.","This is a borderline case. The math is close. Spend 15 minutes strengthening your weakest evidence field (typically IP address or delivery confirmation), then re-run. If still borderline, default to Accept to protect cashflow.")))</f>
        <v/>
      </c>
      <c r="C20" s="79" t="n"/>
      <c r="D20" s="79" t="n"/>
      <c r="E20" s="79" t="n"/>
      <c r="F20" s="54" t="n"/>
    </row>
    <row r="21" ht="9.75" customHeight="1" s="51">
      <c r="A21" s="65" t="n"/>
      <c r="B21" s="65" t="n"/>
      <c r="C21" s="65" t="n"/>
      <c r="D21" s="65" t="n"/>
      <c r="E21" s="65" t="n"/>
      <c r="F21" s="65" t="n"/>
    </row>
    <row r="22" ht="21.75" customHeight="1" s="51">
      <c r="A22" s="55" t="inlineStr">
        <is>
          <t xml:space="preserve">  NEXT STEPS</t>
        </is>
      </c>
    </row>
    <row r="23" ht="54" customHeight="1" s="51">
      <c r="A23" s="80" t="n"/>
      <c r="B23" s="81" t="inlineStr">
        <is>
          <t>✅  FIGHT</t>
        </is>
      </c>
      <c r="C23" s="82">
        <f>IF(C15="","",IF(C15&gt;C16,"1.  Open the Evidence Checklist + Field Map — gather everything before drafting."&amp;CHAR(10)&amp;"2.  Select the matching Template Library entry for your reason code."&amp;CHAR(10)&amp;"3.  Name all files per the Evidence Pack convention. Submit once, cleanly.","—"))</f>
        <v/>
      </c>
      <c r="D23" s="83" t="n"/>
      <c r="E23" s="83" t="n"/>
      <c r="F23" s="80" t="n"/>
    </row>
    <row r="24" ht="54" customHeight="1" s="51">
      <c r="A24" s="84" t="n"/>
      <c r="B24" s="85" t="inlineStr">
        <is>
          <t>❌  ACCEPT</t>
        </is>
      </c>
      <c r="C24" s="86">
        <f>IF(C15="","",IF(C15&lt;-C16,"1.  Issue the refund promptly — the $15 dispute received fee is already charged and non-refundable."&amp;CHAR(10)&amp;"2.  Log the dispute in the Tracker. Record what evidence was missing."&amp;CHAR(10)&amp;"3.  Complete one row in the Learning Loop. Add one prevention fix.","—"))</f>
        <v/>
      </c>
      <c r="D24" s="83" t="n"/>
      <c r="E24" s="83" t="n"/>
      <c r="F24" s="84" t="n"/>
    </row>
    <row r="25" ht="54" customHeight="1" s="51">
      <c r="A25" s="87" t="n"/>
      <c r="B25" s="88" t="inlineStr">
        <is>
          <t>⚠️  BORDERLINE (ACCEPT)</t>
        </is>
      </c>
      <c r="C25" s="89">
        <f>IF(C15="","",IF(AND(C15&gt;=-C16,C15&lt;=C16),"1.  Identify your weakest evidence field (likely IP address or delivery confirmation)."&amp;CHAR(10)&amp;"2.  Spend 15 minutes trying to locate that field. Re-run the calculator."&amp;CHAR(10)&amp;"3.  If still borderline after improving, default to whichever protects cashflow.","—"))</f>
        <v/>
      </c>
      <c r="D25" s="83" t="n"/>
      <c r="E25" s="83" t="n"/>
      <c r="F25" s="87" t="n"/>
    </row>
    <row r="26" ht="9.75" customHeight="1" s="51">
      <c r="A26" s="65" t="n"/>
      <c r="B26" s="65" t="n"/>
      <c r="C26" s="65" t="n"/>
      <c r="D26" s="65" t="n"/>
      <c r="E26" s="65" t="n"/>
      <c r="F26" s="65" t="n"/>
    </row>
    <row r="28" ht="15" customHeight="1" s="51"/>
    <row r="29" ht="15" customHeight="1" s="51"/>
    <row r="30" ht="15" customHeight="1" s="51"/>
    <row r="31" ht="15" customHeight="1" s="51"/>
    <row r="32" ht="15" customHeight="1" s="51"/>
    <row r="33" ht="15" customHeight="1" s="51"/>
    <row r="34" ht="15" customHeight="1" s="51"/>
    <row r="35" ht="15" customHeight="1" s="51"/>
    <row r="36" ht="15" customHeight="1" s="51"/>
    <row r="37" ht="15" customHeight="1" s="51"/>
    <row r="38" ht="15" customHeight="1" s="51"/>
    <row r="39" ht="15" customHeight="1" s="51"/>
    <row r="40" ht="15" customHeight="1" s="51"/>
    <row r="41" ht="15" customHeight="1" s="51"/>
    <row r="42" ht="15" customHeight="1" s="51"/>
    <row r="43" ht="15" customHeight="1" s="51"/>
    <row r="44" ht="15" customHeight="1" s="51"/>
    <row r="45" ht="15" customHeight="1" s="51"/>
    <row r="46" ht="15" customHeight="1" s="51"/>
    <row r="47" ht="15" customHeight="1" s="51"/>
    <row r="48" ht="15" customHeight="1" s="51"/>
    <row r="49" ht="15" customHeight="1" s="51"/>
    <row r="50" ht="15" customHeight="1" s="51"/>
    <row r="51" ht="15" customHeight="1" s="51"/>
    <row r="52" ht="15" customHeight="1" s="51"/>
    <row r="53" ht="15" customHeight="1" s="51"/>
    <row r="54" ht="15" customHeight="1" s="51"/>
    <row r="55" ht="15" customHeight="1" s="51"/>
    <row r="56" ht="15" customHeight="1" s="51"/>
    <row r="57" ht="15" customHeight="1" s="51"/>
    <row r="58" ht="15" customHeight="1" s="51"/>
    <row r="59" ht="15" customHeight="1" s="51"/>
    <row r="60" ht="15" customHeight="1" s="51"/>
    <row r="61" ht="15" customHeight="1" s="51"/>
    <row r="62" ht="15" customHeight="1" s="51"/>
    <row r="63" ht="15" customHeight="1" s="51"/>
    <row r="64" ht="15" customHeight="1" s="51"/>
    <row r="65" ht="15" customHeight="1" s="51"/>
    <row r="66" ht="15" customHeight="1" s="51"/>
    <row r="67" ht="15" customHeight="1" s="51"/>
    <row r="68" ht="15" customHeight="1" s="51"/>
    <row r="69" ht="15" customHeight="1" s="51"/>
    <row r="70" ht="15" customHeight="1" s="51"/>
    <row r="71" ht="15" customHeight="1" s="51"/>
    <row r="72" ht="15" customHeight="1" s="51"/>
    <row r="73" ht="15" customHeight="1" s="51"/>
    <row r="74" ht="15" customHeight="1" s="51"/>
    <row r="75" ht="15" customHeight="1" s="51"/>
    <row r="76" ht="15" customHeight="1" s="51"/>
    <row r="77" ht="15" customHeight="1" s="51"/>
    <row r="78" ht="15" customHeight="1" s="51"/>
    <row r="79" ht="15" customHeight="1" s="51"/>
    <row r="80" ht="15" customHeight="1" s="51"/>
    <row r="81" ht="15" customHeight="1" s="51"/>
    <row r="82" ht="15" customHeight="1" s="51"/>
    <row r="83" ht="15" customHeight="1" s="51"/>
    <row r="84" ht="15" customHeight="1" s="51"/>
    <row r="85" ht="15" customHeight="1" s="51"/>
    <row r="86" ht="15" customHeight="1" s="51"/>
    <row r="87" ht="15" customHeight="1" s="51"/>
    <row r="88" ht="15" customHeight="1" s="51"/>
    <row r="89" ht="15" customHeight="1" s="51"/>
    <row r="90" ht="15" customHeight="1" s="51"/>
    <row r="91" ht="15" customHeight="1" s="51"/>
    <row r="92" ht="15" customHeight="1" s="51"/>
    <row r="93" ht="15" customHeight="1" s="51"/>
    <row r="94" ht="15" customHeight="1" s="51"/>
    <row r="95" ht="15" customHeight="1" s="51"/>
    <row r="96" ht="15" customHeight="1" s="51"/>
    <row r="97" ht="15" customHeight="1" s="51"/>
    <row r="98" ht="15" customHeight="1" s="51"/>
    <row r="99" ht="15" customHeight="1" s="51"/>
    <row r="100" ht="15" customHeight="1" s="51"/>
    <row r="101" ht="15" customHeight="1" s="51"/>
    <row r="102" ht="15" customHeight="1" s="51"/>
    <row r="103" ht="15" customHeight="1" s="51"/>
    <row r="104" ht="15" customHeight="1" s="51"/>
    <row r="105" ht="15" customHeight="1" s="51"/>
    <row r="106" ht="15" customHeight="1" s="51"/>
    <row r="107" ht="15" customHeight="1" s="51"/>
    <row r="108" ht="15" customHeight="1" s="51"/>
    <row r="109" ht="15" customHeight="1" s="51"/>
    <row r="110" ht="15" customHeight="1" s="51"/>
    <row r="111" ht="15" customHeight="1" s="51"/>
    <row r="112" ht="15" customHeight="1" s="51"/>
    <row r="113" ht="15" customHeight="1" s="51"/>
    <row r="114" ht="15" customHeight="1" s="51"/>
    <row r="115" ht="15" customHeight="1" s="51"/>
    <row r="116" ht="15" customHeight="1" s="51"/>
    <row r="117" ht="15" customHeight="1" s="51"/>
    <row r="118" ht="15" customHeight="1" s="51"/>
    <row r="119" ht="15" customHeight="1" s="51"/>
    <row r="120" ht="15" customHeight="1" s="51"/>
    <row r="121" ht="15" customHeight="1" s="51"/>
    <row r="122" ht="15" customHeight="1" s="51"/>
    <row r="123" ht="15" customHeight="1" s="51"/>
    <row r="124" ht="15" customHeight="1" s="51"/>
    <row r="125" ht="15" customHeight="1" s="51"/>
    <row r="126" ht="15" customHeight="1" s="51"/>
    <row r="127" ht="15" customHeight="1" s="51"/>
    <row r="128" ht="15" customHeight="1" s="51"/>
    <row r="129" ht="15" customHeight="1" s="51"/>
    <row r="130" ht="15" customHeight="1" s="51"/>
    <row r="131" ht="15" customHeight="1" s="51"/>
    <row r="132" ht="15" customHeight="1" s="51"/>
    <row r="133" ht="15" customHeight="1" s="51"/>
    <row r="134" ht="15" customHeight="1" s="51"/>
    <row r="135" ht="15" customHeight="1" s="51"/>
    <row r="136" ht="15" customHeight="1" s="51"/>
    <row r="137" ht="15" customHeight="1" s="51"/>
    <row r="138" ht="15" customHeight="1" s="51"/>
    <row r="139" ht="15" customHeight="1" s="51"/>
    <row r="140" ht="15" customHeight="1" s="51"/>
    <row r="141" ht="15" customHeight="1" s="51"/>
    <row r="142" ht="15" customHeight="1" s="51"/>
    <row r="143" ht="15" customHeight="1" s="51"/>
    <row r="144" ht="15" customHeight="1" s="51"/>
    <row r="145" ht="15" customHeight="1" s="51"/>
    <row r="146" ht="15" customHeight="1" s="51"/>
    <row r="147" ht="15" customHeight="1" s="51"/>
    <row r="148" ht="15" customHeight="1" s="51"/>
    <row r="149" ht="15" customHeight="1" s="51"/>
    <row r="150" ht="15" customHeight="1" s="51"/>
    <row r="151" ht="15" customHeight="1" s="51"/>
    <row r="152" ht="15" customHeight="1" s="51"/>
    <row r="153" ht="15" customHeight="1" s="51"/>
    <row r="154" ht="15" customHeight="1" s="51"/>
    <row r="155" ht="15" customHeight="1" s="51"/>
    <row r="156" ht="15" customHeight="1" s="51"/>
    <row r="157" ht="15" customHeight="1" s="51"/>
    <row r="158" ht="15" customHeight="1" s="51"/>
    <row r="159" ht="15" customHeight="1" s="51"/>
    <row r="160" ht="15" customHeight="1" s="51"/>
    <row r="161" ht="15" customHeight="1" s="51"/>
    <row r="162" ht="15" customHeight="1" s="51"/>
    <row r="163" ht="15" customHeight="1" s="51"/>
    <row r="164" ht="15" customHeight="1" s="51"/>
    <row r="165" ht="15" customHeight="1" s="51"/>
    <row r="166" ht="15" customHeight="1" s="51"/>
    <row r="167" ht="15" customHeight="1" s="51"/>
    <row r="168" ht="15" customHeight="1" s="51"/>
    <row r="169" ht="15" customHeight="1" s="51"/>
    <row r="170" ht="15" customHeight="1" s="51"/>
    <row r="171" ht="15" customHeight="1" s="51"/>
    <row r="172" ht="15" customHeight="1" s="51"/>
    <row r="173" ht="15" customHeight="1" s="51"/>
    <row r="174" ht="15" customHeight="1" s="51"/>
    <row r="175" ht="15" customHeight="1" s="51"/>
    <row r="176" ht="15" customHeight="1" s="51"/>
    <row r="177" ht="15" customHeight="1" s="51"/>
    <row r="178" ht="15" customHeight="1" s="51"/>
    <row r="179" ht="15" customHeight="1" s="51"/>
    <row r="180" ht="15" customHeight="1" s="51"/>
    <row r="181" ht="15" customHeight="1" s="51"/>
    <row r="182" ht="15" customHeight="1" s="51"/>
    <row r="183" ht="15" customHeight="1" s="51"/>
    <row r="184" ht="15" customHeight="1" s="51"/>
    <row r="185" ht="15" customHeight="1" s="51"/>
    <row r="186" ht="15" customHeight="1" s="51"/>
    <row r="187" ht="15" customHeight="1" s="51"/>
    <row r="188" ht="15" customHeight="1" s="51"/>
    <row r="189" ht="15" customHeight="1" s="51"/>
    <row r="190" ht="15" customHeight="1" s="51"/>
    <row r="191" ht="15" customHeight="1" s="51"/>
    <row r="192" ht="15" customHeight="1" s="51"/>
    <row r="193" ht="15" customHeight="1" s="51"/>
    <row r="194" ht="15" customHeight="1" s="51"/>
    <row r="195" ht="15" customHeight="1" s="51"/>
    <row r="196" ht="15" customHeight="1" s="51"/>
    <row r="197" ht="15" customHeight="1" s="51"/>
    <row r="198" ht="15" customHeight="1" s="51"/>
    <row r="199" ht="15" customHeight="1" s="51"/>
    <row r="200" ht="15" customHeight="1" s="51"/>
  </sheetData>
  <mergeCells count="13">
    <mergeCell ref="A2:F2"/>
    <mergeCell ref="D11:F11"/>
    <mergeCell ref="A11:C11"/>
    <mergeCell ref="B19:C19"/>
    <mergeCell ref="A1:F1"/>
    <mergeCell ref="D4:F4"/>
    <mergeCell ref="C23:E23"/>
    <mergeCell ref="A22:F22"/>
    <mergeCell ref="A18:F18"/>
    <mergeCell ref="B20:E20"/>
    <mergeCell ref="A4:C4"/>
    <mergeCell ref="C25:E25"/>
    <mergeCell ref="C24:E24"/>
  </mergeCells>
  <conditionalFormatting sqref="B19:C19">
    <cfRule type="expression" priority="2" dxfId="0">
      <formula>AND(C15&lt;&gt;"",C15&gt;C16)</formula>
    </cfRule>
    <cfRule type="expression" priority="3" dxfId="1">
      <formula>AND(C15&lt;&gt;"",(C15&lt;-C16))</formula>
    </cfRule>
    <cfRule type="expression" priority="4" dxfId="2">
      <formula>AND(C15&lt;&gt;"",C15&gt;=-C16,C15&lt;=C16)</formula>
    </cfRule>
  </conditionalFormatting>
  <conditionalFormatting sqref="C15">
    <cfRule type="cellIs" priority="5" operator="greaterThan" dxfId="3">
      <formula>0</formula>
    </cfRule>
    <cfRule type="cellIs" priority="6" operator="lessThan" dxfId="4">
      <formula>0</formula>
    </cfRule>
  </conditionalFormatting>
  <dataValidations count="1">
    <dataValidation sqref="C9" showDropDown="0" showInputMessage="0" showErrorMessage="0" allowBlank="1" type="list">
      <formula1>"Weak,Medium,Strong"</formula1>
    </dataValidation>
  </dataValidations>
  <pageMargins left="0.7" right="0.7" top="0.75" bottom="0.75" header="0.3" footer="0.3"/>
</worksheet>
</file>

<file path=xl/worksheets/sheet2.xml><?xml version="1.0" encoding="utf-8"?>
<worksheet xmlns="http://schemas.openxmlformats.org/spreadsheetml/2006/main">
  <sheetPr>
    <tabColor rgb="FF00838F"/>
    <outlinePr summaryBelow="1" summaryRight="1"/>
    <pageSetUpPr/>
  </sheetPr>
  <dimension ref="A1:C25"/>
  <sheetViews>
    <sheetView showGridLines="0" workbookViewId="0">
      <selection activeCell="A1" sqref="A1"/>
    </sheetView>
  </sheetViews>
  <sheetFormatPr baseColWidth="8" defaultColWidth="8.6796875" defaultRowHeight="15"/>
  <cols>
    <col width="3" customWidth="1" style="50" min="1" max="1"/>
    <col width="20" customWidth="1" style="50" min="2" max="2"/>
    <col width="58" customWidth="1" style="50" min="3" max="3"/>
    <col width="13" customWidth="1" style="50" min="4" max="199"/>
  </cols>
  <sheetData>
    <row r="1" ht="42" customHeight="1" s="51">
      <c r="A1" s="90" t="inlineStr">
        <is>
          <t xml:space="preserve">  CHARGEBACK DEFENDER — HOW TO USE THIS CALCULATOR</t>
        </is>
      </c>
    </row>
    <row r="2" ht="19.5" customHeight="1" s="51">
      <c r="A2" s="91" t="inlineStr">
        <is>
          <t xml:space="preserve">  Fill in 5 inputs. Get a clear Fight or Accept recommendation.</t>
        </is>
      </c>
    </row>
    <row r="3" ht="7.5" customHeight="1" s="51">
      <c r="A3" s="54" t="n"/>
    </row>
    <row r="4" ht="19.5" customHeight="1" s="51">
      <c r="A4" s="92" t="inlineStr">
        <is>
          <t xml:space="preserve">  INPUT 1 — Transaction Amount ($)</t>
        </is>
      </c>
    </row>
    <row r="5" ht="43.5" customHeight="1" s="51">
      <c r="A5" s="54" t="n"/>
      <c r="B5" s="93" t="inlineStr">
        <is>
          <t>The full disputed transaction value — not the fee. Find this in your processor dashboard.</t>
        </is>
      </c>
      <c r="C5" s="83" t="n"/>
    </row>
    <row r="6" ht="19.5" customHeight="1" s="51">
      <c r="A6" s="92" t="inlineStr">
        <is>
          <t xml:space="preserve">  INPUT 2 — Your Gross Margin %</t>
        </is>
      </c>
    </row>
    <row r="7" ht="43.5" customHeight="1" s="51">
      <c r="A7" s="94" t="n"/>
      <c r="B7" s="95" t="inlineStr">
        <is>
          <t>What percentage of the transaction is profit? If you don't know exactly, use your best estimate. Even a rough number is better than none. Typical DTC margins: 30–55%.</t>
        </is>
      </c>
      <c r="C7" s="83" t="n"/>
    </row>
    <row r="8" ht="19.5" customHeight="1" s="51">
      <c r="A8" s="92" t="inlineStr">
        <is>
          <t xml:space="preserve">  INPUT 3 — Processor Dispute Fee ($)</t>
        </is>
      </c>
    </row>
    <row r="9" ht="43.5" customHeight="1" s="51">
      <c r="A9" s="54" t="n"/>
      <c r="B9" s="93" t="inlineStr">
        <is>
          <t>Stripe and Shopify Payments: $15 dispute received fee (charged on every dispute, non-refundable even if you win) + $15 counter-dispute fee (charged only if you fight — refunded if you win, kept if you lose). Maximum exposure on a lost dispute you fought: $30. PayPal: ~$20 (non-refundable). Enter the dispute received fee here — the counter-dispute fee risk is factored into the Expected Value formula via your win probability.</t>
        </is>
      </c>
      <c r="C9" s="83" t="n"/>
    </row>
    <row r="10" ht="19.5" customHeight="1" s="51">
      <c r="A10" s="92" t="inlineStr">
        <is>
          <t xml:space="preserve">  INPUT 4 — Your Time Cost ($)</t>
        </is>
      </c>
    </row>
    <row r="11" ht="43.5" customHeight="1" s="51">
      <c r="A11" s="94" t="n"/>
      <c r="B11" s="95" t="inlineStr">
        <is>
          <t>Estimate the hours you'll spend gathering evidence and drafting a response, multiplied by what your time is worth. Example: 2 hours × $75/hr = $150. Most merchants underestimate this. An honest estimate leads to better decisions.</t>
        </is>
      </c>
      <c r="C11" s="83" t="n"/>
    </row>
    <row r="12" ht="19.5" customHeight="1" s="51">
      <c r="A12" s="92" t="inlineStr">
        <is>
          <t xml:space="preserve">  INPUT 5 — Evidence Strength</t>
        </is>
      </c>
    </row>
    <row r="13" ht="43.5" customHeight="1" s="51">
      <c r="A13" s="54" t="n"/>
      <c r="B13" s="93" t="inlineStr">
        <is>
          <t>Choose from the dropdown:
  Weak     = Missing delivery proof, no IP/device ID, no customer comms
  Medium = Most evidence present; missing 1–2 fields
  Strong   = All fields including IP address, device fingerprint, delivery confirmation</t>
        </is>
      </c>
      <c r="C13" s="83" t="n"/>
    </row>
    <row r="14"/>
    <row r="15" ht="7.5" customHeight="1" s="51">
      <c r="A15" s="65" t="n"/>
    </row>
    <row r="16" ht="21.75" customHeight="1" s="51">
      <c r="A16" s="66" t="inlineStr">
        <is>
          <t xml:space="preserve">  HOW THE RECOMMENDATION IS CALCULATED</t>
        </is>
      </c>
    </row>
    <row r="17" ht="43.5" customHeight="1" s="51">
      <c r="A17" s="96" t="n"/>
      <c r="B17" s="97" t="inlineStr">
        <is>
          <t>Expected Value
(Profit at Stake × Win Multiplier) − Fight Cost</t>
        </is>
      </c>
      <c r="C17" s="98" t="inlineStr">
        <is>
          <t>This is the core calculation. It asks: after accounting for the probability of winning and the cost of fighting, what's the net expected outcome?</t>
        </is>
      </c>
    </row>
    <row r="18" ht="43.5" customHeight="1" s="51">
      <c r="A18" s="94" t="n"/>
      <c r="B18" s="99" t="inlineStr">
        <is>
          <t>Win Multiplier
Weak=0.25 · Medium=0.55 · Strong=0.80</t>
        </is>
      </c>
      <c r="C18" s="100" t="inlineStr">
        <is>
          <t>A proxy for win probability based on evidence completeness. These values reflect typical CE 3.0 dispute outcomes. They are estimates, not guarantees.</t>
        </is>
      </c>
    </row>
    <row r="19" ht="43.5" customHeight="1" s="51">
      <c r="A19" s="96" t="n"/>
      <c r="B19" s="97" t="inlineStr">
        <is>
          <t>Decision Threshold
±10% of Profit at Stake</t>
        </is>
      </c>
      <c r="C19" s="98" t="inlineStr">
        <is>
          <t>A buffer zone. If the expected value falls within ±10% of the profit, the decision is borderline and improving evidence may flip it. Outside this band, the signal is clear.</t>
        </is>
      </c>
    </row>
    <row r="20" ht="43.5" customHeight="1" s="51">
      <c r="A20" s="94" t="n"/>
      <c r="B20" s="99" t="inlineStr">
        <is>
          <t>FIGHT
Expected Value &gt; Threshold</t>
        </is>
      </c>
      <c r="C20" s="100" t="inlineStr">
        <is>
          <t>The math favours fighting. Proceed to evidence assembly.</t>
        </is>
      </c>
    </row>
    <row r="21" ht="43.5" customHeight="1" s="51">
      <c r="A21" s="96" t="n"/>
      <c r="B21" s="97" t="inlineStr">
        <is>
          <t>ACCEPT
Expected Value &lt; −Threshold</t>
        </is>
      </c>
      <c r="C21" s="98" t="inlineStr">
        <is>
          <t>The math is against you. Accept the dispute and issue a refund. Log the learning.</t>
        </is>
      </c>
    </row>
    <row r="22" ht="43.5" customHeight="1" s="51">
      <c r="A22" s="94" t="n"/>
      <c r="B22" s="99" t="inlineStr">
        <is>
          <t>BORDERLINE (ACCEPT)
Expected Value within ±Threshold</t>
        </is>
      </c>
      <c r="C22" s="100" t="inlineStr">
        <is>
          <t>Improve your weakest evidence field, re-run, then decide.</t>
        </is>
      </c>
    </row>
    <row r="23"/>
    <row r="24" ht="7.5" customHeight="1" s="51">
      <c r="A24" s="65" t="n"/>
    </row>
    <row r="25" ht="36" customHeight="1" s="51">
      <c r="A25" s="101" t="inlineStr">
        <is>
          <t>⚠  DISCLAIMER: This calculator is an educational decision-support tool. It does not constitute legal advice and does not guarantee any dispute outcome. The win multipliers are estimates. Actual outcomes depend on processor rules, reason code specifics, and evidence quality.</t>
        </is>
      </c>
      <c r="B25" s="102" t="n"/>
      <c r="C25" s="102" t="n"/>
    </row>
    <row r="27" ht="15" customHeight="1" s="51"/>
    <row r="28" ht="15" customHeight="1" s="51"/>
    <row r="29" ht="15" customHeight="1" s="51"/>
    <row r="30" ht="15" customHeight="1" s="51"/>
    <row r="31" ht="15" customHeight="1" s="51"/>
    <row r="32" ht="15" customHeight="1" s="51"/>
    <row r="33" ht="15" customHeight="1" s="51"/>
    <row r="34" ht="15" customHeight="1" s="51"/>
    <row r="35" ht="15" customHeight="1" s="51"/>
    <row r="36" ht="15" customHeight="1" s="51"/>
    <row r="37" ht="15" customHeight="1" s="51"/>
    <row r="38" ht="15" customHeight="1" s="51"/>
    <row r="39" ht="15" customHeight="1" s="51"/>
    <row r="40" ht="15" customHeight="1" s="51"/>
    <row r="41" ht="15" customHeight="1" s="51"/>
    <row r="42" ht="15" customHeight="1" s="51"/>
    <row r="43" ht="15" customHeight="1" s="51"/>
    <row r="44" ht="15" customHeight="1" s="51"/>
    <row r="45" ht="15" customHeight="1" s="51"/>
    <row r="46" ht="15" customHeight="1" s="51"/>
    <row r="47" ht="15" customHeight="1" s="51"/>
    <row r="48" ht="15" customHeight="1" s="51"/>
    <row r="49" ht="15" customHeight="1" s="51"/>
    <row r="50" ht="15" customHeight="1" s="51"/>
    <row r="51" ht="15" customHeight="1" s="51"/>
    <row r="52" ht="15" customHeight="1" s="51"/>
    <row r="53" ht="15" customHeight="1" s="51"/>
    <row r="54" ht="15" customHeight="1" s="51"/>
    <row r="55" ht="15" customHeight="1" s="51"/>
    <row r="56" ht="15" customHeight="1" s="51"/>
    <row r="57" ht="15" customHeight="1" s="51"/>
    <row r="58" ht="15" customHeight="1" s="51"/>
    <row r="59" ht="15" customHeight="1" s="51"/>
    <row r="60" ht="15" customHeight="1" s="51"/>
    <row r="61" ht="15" customHeight="1" s="51"/>
    <row r="62" ht="15" customHeight="1" s="51"/>
    <row r="63" ht="15" customHeight="1" s="51"/>
    <row r="64" ht="15" customHeight="1" s="51"/>
    <row r="65" ht="15" customHeight="1" s="51"/>
    <row r="66" ht="15" customHeight="1" s="51"/>
    <row r="67" ht="15" customHeight="1" s="51"/>
    <row r="68" ht="15" customHeight="1" s="51"/>
    <row r="69" ht="15" customHeight="1" s="51"/>
    <row r="70" ht="15" customHeight="1" s="51"/>
    <row r="71" ht="15" customHeight="1" s="51"/>
    <row r="72" ht="15" customHeight="1" s="51"/>
    <row r="73" ht="15" customHeight="1" s="51"/>
    <row r="74" ht="15" customHeight="1" s="51"/>
    <row r="75" ht="15" customHeight="1" s="51"/>
    <row r="76" ht="15" customHeight="1" s="51"/>
    <row r="77" ht="15" customHeight="1" s="51"/>
    <row r="78" ht="15" customHeight="1" s="51"/>
    <row r="79" ht="15" customHeight="1" s="51"/>
    <row r="80" ht="15" customHeight="1" s="51"/>
    <row r="81" ht="15" customHeight="1" s="51"/>
    <row r="82" ht="15" customHeight="1" s="51"/>
    <row r="83" ht="15" customHeight="1" s="51"/>
    <row r="84" ht="15" customHeight="1" s="51"/>
    <row r="85" ht="15" customHeight="1" s="51"/>
    <row r="86" ht="15" customHeight="1" s="51"/>
    <row r="87" ht="15" customHeight="1" s="51"/>
    <row r="88" ht="15" customHeight="1" s="51"/>
    <row r="89" ht="15" customHeight="1" s="51"/>
    <row r="90" ht="15" customHeight="1" s="51"/>
    <row r="91" ht="15" customHeight="1" s="51"/>
    <row r="92" ht="15" customHeight="1" s="51"/>
    <row r="93" ht="15" customHeight="1" s="51"/>
    <row r="94" ht="15" customHeight="1" s="51"/>
    <row r="95" ht="15" customHeight="1" s="51"/>
    <row r="96" ht="15" customHeight="1" s="51"/>
    <row r="97" ht="15" customHeight="1" s="51"/>
    <row r="98" ht="15" customHeight="1" s="51"/>
    <row r="99" ht="15" customHeight="1" s="51"/>
    <row r="100" ht="15" customHeight="1" s="51"/>
    <row r="101" ht="15" customHeight="1" s="51"/>
    <row r="102" ht="15" customHeight="1" s="51"/>
    <row r="103" ht="15" customHeight="1" s="51"/>
    <row r="104" ht="15" customHeight="1" s="51"/>
    <row r="105" ht="15" customHeight="1" s="51"/>
    <row r="106" ht="15" customHeight="1" s="51"/>
    <row r="107" ht="15" customHeight="1" s="51"/>
    <row r="108" ht="15" customHeight="1" s="51"/>
    <row r="109" ht="15" customHeight="1" s="51"/>
    <row r="110" ht="15" customHeight="1" s="51"/>
    <row r="111" ht="15" customHeight="1" s="51"/>
    <row r="112" ht="15" customHeight="1" s="51"/>
    <row r="113" ht="15" customHeight="1" s="51"/>
    <row r="114" ht="15" customHeight="1" s="51"/>
    <row r="115" ht="15" customHeight="1" s="51"/>
    <row r="116" ht="15" customHeight="1" s="51"/>
    <row r="117" ht="15" customHeight="1" s="51"/>
    <row r="118" ht="15" customHeight="1" s="51"/>
    <row r="119" ht="15" customHeight="1" s="51"/>
    <row r="120" ht="15" customHeight="1" s="51"/>
    <row r="121" ht="15" customHeight="1" s="51"/>
    <row r="122" ht="15" customHeight="1" s="51"/>
    <row r="123" ht="15" customHeight="1" s="51"/>
    <row r="124" ht="15" customHeight="1" s="51"/>
    <row r="125" ht="15" customHeight="1" s="51"/>
    <row r="126" ht="15" customHeight="1" s="51"/>
    <row r="127" ht="15" customHeight="1" s="51"/>
    <row r="128" ht="15" customHeight="1" s="51"/>
    <row r="129" ht="15" customHeight="1" s="51"/>
    <row r="130" ht="15" customHeight="1" s="51"/>
    <row r="131" ht="15" customHeight="1" s="51"/>
    <row r="132" ht="15" customHeight="1" s="51"/>
    <row r="133" ht="15" customHeight="1" s="51"/>
    <row r="134" ht="15" customHeight="1" s="51"/>
    <row r="135" ht="15" customHeight="1" s="51"/>
    <row r="136" ht="15" customHeight="1" s="51"/>
    <row r="137" ht="15" customHeight="1" s="51"/>
    <row r="138" ht="15" customHeight="1" s="51"/>
    <row r="139" ht="15" customHeight="1" s="51"/>
    <row r="140" ht="15" customHeight="1" s="51"/>
    <row r="141" ht="15" customHeight="1" s="51"/>
    <row r="142" ht="15" customHeight="1" s="51"/>
    <row r="143" ht="15" customHeight="1" s="51"/>
    <row r="144" ht="15" customHeight="1" s="51"/>
    <row r="145" ht="15" customHeight="1" s="51"/>
    <row r="146" ht="15" customHeight="1" s="51"/>
    <row r="147" ht="15" customHeight="1" s="51"/>
    <row r="148" ht="15" customHeight="1" s="51"/>
    <row r="149" ht="15" customHeight="1" s="51"/>
    <row r="150" ht="15" customHeight="1" s="51"/>
    <row r="151" ht="15" customHeight="1" s="51"/>
    <row r="152" ht="15" customHeight="1" s="51"/>
    <row r="153" ht="15" customHeight="1" s="51"/>
    <row r="154" ht="15" customHeight="1" s="51"/>
    <row r="155" ht="15" customHeight="1" s="51"/>
    <row r="156" ht="15" customHeight="1" s="51"/>
    <row r="157" ht="15" customHeight="1" s="51"/>
    <row r="158" ht="15" customHeight="1" s="51"/>
    <row r="159" ht="15" customHeight="1" s="51"/>
    <row r="160" ht="15" customHeight="1" s="51"/>
    <row r="161" ht="15" customHeight="1" s="51"/>
    <row r="162" ht="15" customHeight="1" s="51"/>
    <row r="163" ht="15" customHeight="1" s="51"/>
    <row r="164" ht="15" customHeight="1" s="51"/>
    <row r="165" ht="15" customHeight="1" s="51"/>
    <row r="166" ht="15" customHeight="1" s="51"/>
    <row r="167" ht="15" customHeight="1" s="51"/>
    <row r="168" ht="15" customHeight="1" s="51"/>
    <row r="169" ht="15" customHeight="1" s="51"/>
    <row r="170" ht="15" customHeight="1" s="51"/>
    <row r="171" ht="15" customHeight="1" s="51"/>
    <row r="172" ht="15" customHeight="1" s="51"/>
    <row r="173" ht="15" customHeight="1" s="51"/>
    <row r="174" ht="15" customHeight="1" s="51"/>
    <row r="175" ht="15" customHeight="1" s="51"/>
    <row r="176" ht="15" customHeight="1" s="51"/>
    <row r="177" ht="15" customHeight="1" s="51"/>
    <row r="178" ht="15" customHeight="1" s="51"/>
    <row r="179" ht="15" customHeight="1" s="51"/>
    <row r="180" ht="15" customHeight="1" s="51"/>
    <row r="181" ht="15" customHeight="1" s="51"/>
    <row r="182" ht="15" customHeight="1" s="51"/>
    <row r="183" ht="15" customHeight="1" s="51"/>
    <row r="184" ht="15" customHeight="1" s="51"/>
    <row r="185" ht="15" customHeight="1" s="51"/>
    <row r="186" ht="15" customHeight="1" s="51"/>
    <row r="187" ht="15" customHeight="1" s="51"/>
    <row r="188" ht="15" customHeight="1" s="51"/>
    <row r="189" ht="15" customHeight="1" s="51"/>
    <row r="190" ht="15" customHeight="1" s="51"/>
    <row r="191" ht="15" customHeight="1" s="51"/>
    <row r="192" ht="15" customHeight="1" s="51"/>
    <row r="193" ht="15" customHeight="1" s="51"/>
    <row r="194" ht="15" customHeight="1" s="51"/>
    <row r="195" ht="15" customHeight="1" s="51"/>
    <row r="196" ht="15" customHeight="1" s="51"/>
    <row r="197" ht="15" customHeight="1" s="51"/>
    <row r="198" ht="15" customHeight="1" s="51"/>
    <row r="199" ht="15" customHeight="1" s="51"/>
    <row r="200" ht="15" customHeight="1" s="51"/>
  </sheetData>
  <mergeCells count="17">
    <mergeCell ref="A10:C10"/>
    <mergeCell ref="A25:C25"/>
    <mergeCell ref="B13:C13"/>
    <mergeCell ref="B7:C7"/>
    <mergeCell ref="A1:C1"/>
    <mergeCell ref="B11:C11"/>
    <mergeCell ref="A2:C2"/>
    <mergeCell ref="B5:C5"/>
    <mergeCell ref="A8:C8"/>
    <mergeCell ref="A6:C6"/>
    <mergeCell ref="B9:C9"/>
    <mergeCell ref="A3:C3"/>
    <mergeCell ref="A12:C12"/>
    <mergeCell ref="A4:C4"/>
    <mergeCell ref="A24:C24"/>
    <mergeCell ref="A16:C16"/>
    <mergeCell ref="A15:C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2026-02-19T17:19:32Z</dcterms:created>
  <dcterms:modified xmlns:dcterms="http://purl.org/dc/terms/" xmlns:xsi="http://www.w3.org/2001/XMLSchema-instance" xsi:type="dcterms:W3CDTF">2026-02-20T02:07:39Z</dcterms:modified>
</cp:coreProperties>
</file>